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0940" windowHeight="13220" tabRatio="500" firstSheet="0" activeTab="0" autoFilterDateGrouping="1"/>
  </bookViews>
  <sheets>
    <sheet xmlns:r="http://schemas.openxmlformats.org/officeDocument/2006/relationships" name="1. Segment NIE Data" sheetId="1" state="visible" r:id="rId1"/>
    <sheet xmlns:r="http://schemas.openxmlformats.org/officeDocument/2006/relationships" name="2. Corporate NIE Comparison" sheetId="2" state="visible" r:id="rId2"/>
    <sheet xmlns:r="http://schemas.openxmlformats.org/officeDocument/2006/relationships" name="3. TOCA Fermi Estimation" sheetId="3" state="visible" r:id="rId3"/>
    <sheet xmlns:r="http://schemas.openxmlformats.org/officeDocument/2006/relationships" name="4. Final Summary" sheetId="4" state="visible" r:id="rId4"/>
    <sheet xmlns:r="http://schemas.openxmlformats.org/officeDocument/2006/relationships" name="5. Analysis &amp; Methodology" sheetId="5" state="visible" r:id="rId5"/>
    <sheet xmlns:r="http://schemas.openxmlformats.org/officeDocument/2006/relationships" name="6. Sources" sheetId="6" state="visible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\$#,##0"/>
    <numFmt numFmtId="166" formatCode="0.0\x"/>
  </numFmts>
  <fonts count="15">
    <font>
      <name val="Calibri"/>
      <charset val="1"/>
      <family val="2"/>
      <color theme="1"/>
      <sz val="11"/>
    </font>
    <font>
      <name val="Arial"/>
      <family val="2"/>
      <b val="1"/>
      <color rgb="FF1F4E79"/>
      <sz val="14"/>
    </font>
    <font>
      <name val="Arial"/>
      <family val="2"/>
      <i val="1"/>
      <color rgb="FF666666"/>
      <sz val="9"/>
    </font>
    <font>
      <name val="Arial"/>
      <family val="2"/>
      <b val="1"/>
      <color rgb="FF1F4E79"/>
      <sz val="12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color rgb="FFCC0000"/>
      <sz val="10"/>
    </font>
    <font>
      <name val="Arial"/>
      <family val="2"/>
      <b val="1"/>
      <color rgb="FF1F4E79"/>
      <sz val="10"/>
    </font>
    <font>
      <name val="Arial"/>
      <family val="2"/>
      <b val="1"/>
      <i val="1"/>
      <color rgb="FFCC0000"/>
      <sz val="9"/>
    </font>
    <font>
      <name val="Arial"/>
      <family val="2"/>
      <b val="1"/>
      <color rgb="FFCC0000"/>
      <sz val="12"/>
    </font>
    <font>
      <name val="Arial"/>
      <family val="2"/>
      <color rgb="FFCC0000"/>
      <sz val="11"/>
    </font>
    <font>
      <name val="Arial"/>
      <family val="2"/>
      <b val="1"/>
      <color rgb="FF1F4E79"/>
      <sz val="11"/>
    </font>
    <font>
      <name val="Arial"/>
      <family val="2"/>
      <i val="1"/>
      <color rgb="FFCC0000"/>
      <sz val="9"/>
    </font>
    <font>
      <name val="Arial"/>
      <i val="1"/>
      <color rgb="00666666"/>
      <sz val="9"/>
    </font>
    <font>
      <name val="Arial"/>
      <b val="1"/>
      <color rgb="001F4E79"/>
      <sz val="14"/>
    </font>
  </fonts>
  <fills count="7">
    <fill>
      <patternFill/>
    </fill>
    <fill>
      <patternFill patternType="gray125"/>
    </fill>
    <fill>
      <patternFill patternType="solid">
        <fgColor rgb="FFE2EFDA"/>
        <bgColor rgb="FFD6E4F0"/>
      </patternFill>
    </fill>
    <fill>
      <patternFill patternType="solid">
        <fgColor rgb="FF1F4E79"/>
        <bgColor rgb="FF003366"/>
      </patternFill>
    </fill>
    <fill>
      <patternFill patternType="solid">
        <fgColor rgb="FFFCE4EC"/>
        <bgColor rgb="FFFFF2CC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CE4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3" fontId="5" fillId="2" borderId="1" applyAlignment="1" pivotButton="0" quotePrefix="0" xfId="0">
      <alignment horizontal="right" vertical="center"/>
    </xf>
    <xf numFmtId="164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 wrapText="1"/>
    </xf>
    <xf numFmtId="3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0" fontId="3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5" fontId="6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4" fontId="6" fillId="2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5" fontId="5" fillId="2" borderId="1" applyAlignment="1" pivotButton="0" quotePrefix="0" xfId="0">
      <alignment horizontal="right" vertical="center"/>
    </xf>
    <xf numFmtId="0" fontId="5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843C0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F57"/>
  <sheetViews>
    <sheetView tabSelected="1" topLeftCell="A28" zoomScaleNormal="100" workbookViewId="0">
      <selection activeCell="A1" sqref="A1"/>
    </sheetView>
  </sheetViews>
  <sheetFormatPr baseColWidth="10" defaultColWidth="8.6640625" defaultRowHeight="15" customHeight="1"/>
  <cols>
    <col width="42" customWidth="1" min="1" max="1"/>
    <col width="18" customWidth="1" min="2" max="3"/>
    <col width="14" customWidth="1" min="4" max="4"/>
    <col width="16" customWidth="1" min="5" max="5"/>
    <col width="45" customWidth="1" min="6" max="6"/>
  </cols>
  <sheetData>
    <row r="1" ht="18" customHeight="1">
      <c r="A1" s="1" t="inlineStr">
        <is>
          <t>Segment-Level Non-Interest Expense (NIE) — Extracted from Public Financial Disclosures</t>
        </is>
      </c>
    </row>
    <row r="2">
      <c r="A2" s="42" t="inlineStr">
        <is>
          <t>Prepared by MIA | Classification: PUBLIC | Based entirely on publicly available information. No internal BMO data was used.</t>
        </is>
      </c>
    </row>
    <row r="4" ht="16" customHeight="1">
      <c r="A4" s="3" t="inlineStr">
        <is>
          <t>BMO — FY2025 (Year ended Oct 31, 2025)</t>
        </is>
      </c>
    </row>
    <row r="5">
      <c r="A5" s="4" t="inlineStr">
        <is>
          <t>Segment</t>
        </is>
      </c>
      <c r="B5" s="4" t="inlineStr">
        <is>
          <t>FY2025 NIE ($M)</t>
        </is>
      </c>
      <c r="C5" s="4" t="inlineStr">
        <is>
          <t>FY2024 NIE ($M)</t>
        </is>
      </c>
      <c r="D5" s="4" t="inlineStr">
        <is>
          <t>YoY Change</t>
        </is>
      </c>
      <c r="E5" s="4" t="inlineStr">
        <is>
          <t>% of Total NIE</t>
        </is>
      </c>
      <c r="F5" s="4" t="inlineStr">
        <is>
          <t>Source</t>
        </is>
      </c>
    </row>
    <row r="6">
      <c r="A6" s="5" t="inlineStr">
        <is>
          <t>Canadian P&amp;C Banking</t>
        </is>
      </c>
      <c r="B6" s="6" t="n">
        <v>4617</v>
      </c>
      <c r="C6" s="6" t="n">
        <v>4278</v>
      </c>
      <c r="D6" s="7">
        <f>(B6-C6)/C6</f>
        <v/>
      </c>
      <c r="E6" s="7">
        <f>B6/B11</f>
        <v/>
      </c>
      <c r="F6" s="8" t="inlineStr">
        <is>
          <t>BMO 2025 Annual Report MD&amp;A</t>
        </is>
      </c>
    </row>
    <row r="7">
      <c r="A7" s="5" t="inlineStr">
        <is>
          <t>U.S. Banking</t>
        </is>
      </c>
      <c r="B7" s="6" t="n">
        <v>4278</v>
      </c>
      <c r="C7" s="6" t="n">
        <v>4439</v>
      </c>
      <c r="D7" s="7">
        <f>(B7-C7)/C7</f>
        <v/>
      </c>
      <c r="E7" s="7">
        <f>B7/B11</f>
        <v/>
      </c>
      <c r="F7" s="8" t="inlineStr">
        <is>
          <t>BMO 2025 Annual Report MD&amp;A</t>
        </is>
      </c>
    </row>
    <row r="8">
      <c r="A8" s="5" t="inlineStr">
        <is>
          <t>Wealth Management</t>
        </is>
      </c>
      <c r="B8" s="6" t="n">
        <v>1520</v>
      </c>
      <c r="C8" s="6" t="n">
        <v>1335</v>
      </c>
      <c r="D8" s="7">
        <f>(B8-C8)/C8</f>
        <v/>
      </c>
      <c r="E8" s="7">
        <f>B8/B11</f>
        <v/>
      </c>
      <c r="F8" s="8" t="inlineStr">
        <is>
          <t>BMO 2025 Annual Report MD&amp;A</t>
        </is>
      </c>
    </row>
    <row r="9">
      <c r="A9" s="5" t="inlineStr">
        <is>
          <t>Capital Markets</t>
        </is>
      </c>
      <c r="B9" s="6" t="n">
        <v>1122</v>
      </c>
      <c r="C9" s="6" t="n">
        <v>1116</v>
      </c>
      <c r="D9" s="7">
        <f>(B9-C9)/C9</f>
        <v/>
      </c>
      <c r="E9" s="7">
        <f>B9/B11</f>
        <v/>
      </c>
      <c r="F9" s="8" t="inlineStr">
        <is>
          <t>BMO 2025 Annual Report MD&amp;A</t>
        </is>
      </c>
    </row>
    <row r="10">
      <c r="A10" s="9" t="inlineStr">
        <is>
          <t>Corporate Services (incl. T&amp;O)</t>
        </is>
      </c>
      <c r="B10" s="10" t="n">
        <v>5570</v>
      </c>
      <c r="C10" s="10" t="n">
        <v>4839</v>
      </c>
      <c r="D10" s="11">
        <f>(B10-C10)/C10</f>
        <v/>
      </c>
      <c r="E10" s="11">
        <f>B10/B11</f>
        <v/>
      </c>
      <c r="F10" s="12" t="inlineStr">
        <is>
          <t>BMO 2025 Annual Report MD&amp;A</t>
        </is>
      </c>
    </row>
    <row r="11">
      <c r="A11" s="13" t="inlineStr">
        <is>
          <t>TOTAL</t>
        </is>
      </c>
      <c r="B11" s="14" t="n">
        <v>17107</v>
      </c>
      <c r="C11" s="14" t="n">
        <v>15499</v>
      </c>
      <c r="D11" s="15">
        <f>(B11-C11)/C11</f>
        <v/>
      </c>
      <c r="E11" s="15">
        <f>B11/B11</f>
        <v/>
      </c>
      <c r="F11" s="16" t="n"/>
    </row>
    <row r="13" ht="16" customHeight="1">
      <c r="A13" s="17" t="inlineStr">
        <is>
          <t>RBC — FY2024 (Year ended Oct 31, 2024)</t>
        </is>
      </c>
    </row>
    <row r="14">
      <c r="A14" s="4" t="inlineStr">
        <is>
          <t>Segment</t>
        </is>
      </c>
      <c r="B14" s="4" t="inlineStr">
        <is>
          <t>FY2025 NIE ($M)</t>
        </is>
      </c>
      <c r="C14" s="4" t="inlineStr">
        <is>
          <t>FY2024 NIE ($M)</t>
        </is>
      </c>
      <c r="D14" s="4" t="inlineStr">
        <is>
          <t>YoY Change</t>
        </is>
      </c>
      <c r="E14" s="4" t="inlineStr">
        <is>
          <t>% of Total NIE</t>
        </is>
      </c>
      <c r="F14" s="4" t="inlineStr">
        <is>
          <t>Source</t>
        </is>
      </c>
    </row>
    <row r="15">
      <c r="A15" s="18" t="inlineStr">
        <is>
          <t>Personal Banking</t>
        </is>
      </c>
      <c r="B15" s="19" t="n">
        <v>7485</v>
      </c>
      <c r="C15" s="20" t="inlineStr">
        <is>
          <t>N/A</t>
        </is>
      </c>
      <c r="D15" s="20" t="inlineStr">
        <is>
          <t>N/A</t>
        </is>
      </c>
      <c r="E15" s="21">
        <f>IF(ISNUMBER(B15),B15/B21,"")</f>
        <v/>
      </c>
      <c r="F15" s="20" t="inlineStr">
        <is>
          <t>RBC Q4 2024 Supplementary Financial Info</t>
        </is>
      </c>
    </row>
    <row r="16">
      <c r="A16" s="18" t="inlineStr">
        <is>
          <t>Commercial Banking</t>
        </is>
      </c>
      <c r="B16" s="19" t="n">
        <v>2512</v>
      </c>
      <c r="C16" s="20" t="inlineStr">
        <is>
          <t>N/A</t>
        </is>
      </c>
      <c r="D16" s="20" t="inlineStr">
        <is>
          <t>N/A</t>
        </is>
      </c>
      <c r="E16" s="21">
        <f>IF(ISNUMBER(B16),B16/B21,"")</f>
        <v/>
      </c>
      <c r="F16" s="20" t="inlineStr">
        <is>
          <t>RBC Q4 2024 Supplementary Financial Info</t>
        </is>
      </c>
    </row>
    <row r="17">
      <c r="A17" s="18" t="inlineStr">
        <is>
          <t>Wealth Management</t>
        </is>
      </c>
      <c r="B17" s="19" t="n">
        <v>15312</v>
      </c>
      <c r="C17" s="20" t="inlineStr">
        <is>
          <t>N/A</t>
        </is>
      </c>
      <c r="D17" s="20" t="inlineStr">
        <is>
          <t>N/A</t>
        </is>
      </c>
      <c r="E17" s="21">
        <f>IF(ISNUMBER(B17),B17/B21,"")</f>
        <v/>
      </c>
      <c r="F17" s="20" t="inlineStr">
        <is>
          <t>RBC Q4 2024 Supplementary Financial Info</t>
        </is>
      </c>
    </row>
    <row r="18">
      <c r="A18" s="18" t="inlineStr">
        <is>
          <t>Insurance</t>
        </is>
      </c>
      <c r="B18" s="19" t="n">
        <v>285</v>
      </c>
      <c r="C18" s="20" t="inlineStr">
        <is>
          <t>N/A</t>
        </is>
      </c>
      <c r="D18" s="20" t="inlineStr">
        <is>
          <t>N/A</t>
        </is>
      </c>
      <c r="E18" s="21">
        <f>IF(ISNUMBER(B18),B18/B21,"")</f>
        <v/>
      </c>
      <c r="F18" s="20" t="inlineStr">
        <is>
          <t>RBC Q4 2024 Supplementary Financial Info</t>
        </is>
      </c>
    </row>
    <row r="19">
      <c r="A19" s="18" t="inlineStr">
        <is>
          <t>Capital Markets</t>
        </is>
      </c>
      <c r="B19" s="19" t="n">
        <v>7016</v>
      </c>
      <c r="C19" s="20" t="inlineStr">
        <is>
          <t>N/A</t>
        </is>
      </c>
      <c r="D19" s="20" t="inlineStr">
        <is>
          <t>N/A</t>
        </is>
      </c>
      <c r="E19" s="21">
        <f>IF(ISNUMBER(B19),B19/B21,"")</f>
        <v/>
      </c>
      <c r="F19" s="20" t="inlineStr">
        <is>
          <t>RBC Q4 2024 Supplementary Financial Info</t>
        </is>
      </c>
    </row>
    <row r="20">
      <c r="A20" s="9" t="inlineStr">
        <is>
          <t>Corporate Support</t>
        </is>
      </c>
      <c r="B20" s="10" t="n">
        <v>1167</v>
      </c>
      <c r="C20" s="12" t="inlineStr">
        <is>
          <t>N/A</t>
        </is>
      </c>
      <c r="D20" s="12" t="inlineStr">
        <is>
          <t>N/A</t>
        </is>
      </c>
      <c r="E20" s="11">
        <f>IF(ISNUMBER(B20),B20/B21,"")</f>
        <v/>
      </c>
      <c r="F20" s="12" t="inlineStr">
        <is>
          <t>RBC Q4 2024 Supplementary Financial Info</t>
        </is>
      </c>
    </row>
    <row r="21">
      <c r="A21" s="22" t="inlineStr">
        <is>
          <t>TOTAL</t>
        </is>
      </c>
      <c r="B21" s="23" t="n">
        <v>34250</v>
      </c>
      <c r="C21" s="24" t="inlineStr">
        <is>
          <t>N/A</t>
        </is>
      </c>
      <c r="D21" s="24" t="inlineStr">
        <is>
          <t>N/A</t>
        </is>
      </c>
      <c r="E21" s="25">
        <f>IF(ISNUMBER(B21),B21/B21,"")</f>
        <v/>
      </c>
      <c r="F21" s="24" t="n"/>
    </row>
    <row r="23" ht="16" customHeight="1">
      <c r="A23" s="17" t="inlineStr">
        <is>
          <t>TD — FY2024 (Year ended Oct 31, 2024)</t>
        </is>
      </c>
    </row>
    <row r="24">
      <c r="A24" s="4" t="inlineStr">
        <is>
          <t>Segment</t>
        </is>
      </c>
      <c r="B24" s="4" t="inlineStr">
        <is>
          <t>FY2025 NIE ($M)</t>
        </is>
      </c>
      <c r="C24" s="4" t="inlineStr">
        <is>
          <t>FY2024 NIE ($M)</t>
        </is>
      </c>
      <c r="D24" s="4" t="inlineStr">
        <is>
          <t>YoY Change</t>
        </is>
      </c>
      <c r="E24" s="4" t="inlineStr">
        <is>
          <t>% of Total NIE</t>
        </is>
      </c>
      <c r="F24" s="4" t="inlineStr">
        <is>
          <t>Source</t>
        </is>
      </c>
    </row>
    <row r="25">
      <c r="A25" s="18" t="inlineStr">
        <is>
          <t>Canadian P&amp;C Banking</t>
        </is>
      </c>
      <c r="B25" s="19" t="n">
        <v>8010</v>
      </c>
      <c r="C25" s="20" t="inlineStr">
        <is>
          <t>N/A</t>
        </is>
      </c>
      <c r="D25" s="20" t="inlineStr">
        <is>
          <t>N/A</t>
        </is>
      </c>
      <c r="E25" s="21">
        <f>IF(ISNUMBER(B25),B25/B30,"")</f>
        <v/>
      </c>
      <c r="F25" s="20" t="inlineStr">
        <is>
          <t>TD Q4 2024 Earnings Release</t>
        </is>
      </c>
    </row>
    <row r="26">
      <c r="A26" s="18" t="inlineStr">
        <is>
          <t>U.S. Retail</t>
        </is>
      </c>
      <c r="B26" s="19" t="n">
        <v>5498</v>
      </c>
      <c r="C26" s="20" t="inlineStr">
        <is>
          <t>N/A</t>
        </is>
      </c>
      <c r="D26" s="20" t="inlineStr">
        <is>
          <t>N/A</t>
        </is>
      </c>
      <c r="E26" s="21">
        <f>IF(ISNUMBER(B26),B26/B30,"")</f>
        <v/>
      </c>
      <c r="F26" s="20" t="inlineStr">
        <is>
          <t>TD Q4 2024 Earnings Release</t>
        </is>
      </c>
    </row>
    <row r="27">
      <c r="A27" s="18" t="inlineStr">
        <is>
          <t>Wealth Management &amp; Insurance</t>
        </is>
      </c>
      <c r="B27" s="19" t="n">
        <v>6647</v>
      </c>
      <c r="C27" s="20" t="inlineStr">
        <is>
          <t>N/A</t>
        </is>
      </c>
      <c r="D27" s="20" t="inlineStr">
        <is>
          <t>N/A</t>
        </is>
      </c>
      <c r="E27" s="21">
        <f>IF(ISNUMBER(B27),B27/B30,"")</f>
        <v/>
      </c>
      <c r="F27" s="20" t="inlineStr">
        <is>
          <t>TD Q4 2024 Earnings Release</t>
        </is>
      </c>
    </row>
    <row r="28">
      <c r="A28" s="18" t="inlineStr">
        <is>
          <t>Wholesale Banking</t>
        </is>
      </c>
      <c r="B28" s="19" t="n">
        <v>1441</v>
      </c>
      <c r="C28" s="20" t="inlineStr">
        <is>
          <t>N/A</t>
        </is>
      </c>
      <c r="D28" s="20" t="inlineStr">
        <is>
          <t>N/A</t>
        </is>
      </c>
      <c r="E28" s="21">
        <f>IF(ISNUMBER(B28),B28/B30,"")</f>
        <v/>
      </c>
      <c r="F28" s="20" t="inlineStr">
        <is>
          <t>TD Q4 2024 Earnings Release</t>
        </is>
      </c>
    </row>
    <row r="29">
      <c r="A29" s="9" t="inlineStr">
        <is>
          <t>Corporate</t>
        </is>
      </c>
      <c r="B29" s="10" t="n">
        <v>323</v>
      </c>
      <c r="C29" s="12" t="inlineStr">
        <is>
          <t>N/A</t>
        </is>
      </c>
      <c r="D29" s="12" t="inlineStr">
        <is>
          <t>N/A</t>
        </is>
      </c>
      <c r="E29" s="11">
        <f>IF(ISNUMBER(B29),B29/B30,"")</f>
        <v/>
      </c>
      <c r="F29" s="12" t="inlineStr">
        <is>
          <t>TD Q4 2024 Earnings Release</t>
        </is>
      </c>
    </row>
    <row r="30">
      <c r="A30" s="22" t="inlineStr">
        <is>
          <t>TOTAL</t>
        </is>
      </c>
      <c r="B30" s="23" t="n">
        <v>21919</v>
      </c>
      <c r="C30" s="24" t="inlineStr">
        <is>
          <t>N/A</t>
        </is>
      </c>
      <c r="D30" s="24" t="inlineStr">
        <is>
          <t>N/A</t>
        </is>
      </c>
      <c r="E30" s="25">
        <f>IF(ISNUMBER(B30),B30/B30,"")</f>
        <v/>
      </c>
      <c r="F30" s="24" t="n"/>
    </row>
    <row r="32" ht="16" customHeight="1">
      <c r="A32" s="17" t="inlineStr">
        <is>
          <t>CIBC — FY2024 (Year ended Oct 31, 2024)</t>
        </is>
      </c>
    </row>
    <row r="33">
      <c r="A33" s="4" t="inlineStr">
        <is>
          <t>Segment</t>
        </is>
      </c>
      <c r="B33" s="4" t="inlineStr">
        <is>
          <t>FY2025 NIE ($M)</t>
        </is>
      </c>
      <c r="C33" s="4" t="inlineStr">
        <is>
          <t>FY2024 NIE ($M)</t>
        </is>
      </c>
      <c r="D33" s="4" t="inlineStr">
        <is>
          <t>YoY Change</t>
        </is>
      </c>
      <c r="E33" s="4" t="inlineStr">
        <is>
          <t>% of Total NIE</t>
        </is>
      </c>
      <c r="F33" s="4" t="inlineStr">
        <is>
          <t>Source</t>
        </is>
      </c>
    </row>
    <row r="34">
      <c r="A34" s="18" t="inlineStr">
        <is>
          <t>Canadian Personal &amp; Business Banking</t>
        </is>
      </c>
      <c r="B34" s="19" t="n">
        <v>5360</v>
      </c>
      <c r="C34" s="20" t="inlineStr">
        <is>
          <t>N/A</t>
        </is>
      </c>
      <c r="D34" s="20" t="inlineStr">
        <is>
          <t>N/A</t>
        </is>
      </c>
      <c r="E34" s="21">
        <f>IF(ISNUMBER(B34),B34/B39,"")</f>
        <v/>
      </c>
      <c r="F34" s="20" t="inlineStr">
        <is>
          <t>CIBC Q4 2024 Supplementary Financial Info</t>
        </is>
      </c>
    </row>
    <row r="35">
      <c r="A35" s="18" t="inlineStr">
        <is>
          <t>Canadian Commercial Banking &amp; Wealth Mgmt</t>
        </is>
      </c>
      <c r="B35" s="19" t="n">
        <v>2941</v>
      </c>
      <c r="C35" s="20" t="inlineStr">
        <is>
          <t>N/A</t>
        </is>
      </c>
      <c r="D35" s="20" t="inlineStr">
        <is>
          <t>N/A</t>
        </is>
      </c>
      <c r="E35" s="21">
        <f>IF(ISNUMBER(B35),B35/B39,"")</f>
        <v/>
      </c>
      <c r="F35" s="20" t="inlineStr">
        <is>
          <t>CIBC Q4 2024 Supplementary Financial Info</t>
        </is>
      </c>
    </row>
    <row r="36">
      <c r="A36" s="18" t="inlineStr">
        <is>
          <t>U.S. Commercial Banking &amp; Wealth Mgmt</t>
        </is>
      </c>
      <c r="B36" s="19" t="n">
        <v>1701</v>
      </c>
      <c r="C36" s="20" t="inlineStr">
        <is>
          <t>N/A</t>
        </is>
      </c>
      <c r="D36" s="20" t="inlineStr">
        <is>
          <t>N/A</t>
        </is>
      </c>
      <c r="E36" s="21">
        <f>IF(ISNUMBER(B36),B36/B39,"")</f>
        <v/>
      </c>
      <c r="F36" s="20" t="inlineStr">
        <is>
          <t>CIBC Q4 2024 Supplementary Financial Info</t>
        </is>
      </c>
    </row>
    <row r="37">
      <c r="A37" s="18" t="inlineStr">
        <is>
          <t>Capital Markets &amp; Direct Financial Svcs</t>
        </is>
      </c>
      <c r="B37" s="19" t="n">
        <v>2967</v>
      </c>
      <c r="C37" s="20" t="inlineStr">
        <is>
          <t>N/A</t>
        </is>
      </c>
      <c r="D37" s="20" t="inlineStr">
        <is>
          <t>N/A</t>
        </is>
      </c>
      <c r="E37" s="21">
        <f>IF(ISNUMBER(B37),B37/B39,"")</f>
        <v/>
      </c>
      <c r="F37" s="20" t="inlineStr">
        <is>
          <t>CIBC Q4 2024 Supplementary Financial Info</t>
        </is>
      </c>
    </row>
    <row r="38">
      <c r="A38" s="9" t="inlineStr">
        <is>
          <t>Corporate and Other</t>
        </is>
      </c>
      <c r="B38" s="10" t="n">
        <v>1470</v>
      </c>
      <c r="C38" s="12" t="inlineStr">
        <is>
          <t>N/A</t>
        </is>
      </c>
      <c r="D38" s="12" t="inlineStr">
        <is>
          <t>N/A</t>
        </is>
      </c>
      <c r="E38" s="11">
        <f>IF(ISNUMBER(B38),B38/B39,"")</f>
        <v/>
      </c>
      <c r="F38" s="12" t="inlineStr">
        <is>
          <t>CIBC Q4 2024 Supplementary Financial Info</t>
        </is>
      </c>
    </row>
    <row r="39">
      <c r="A39" s="22" t="inlineStr">
        <is>
          <t>TOTAL</t>
        </is>
      </c>
      <c r="B39" s="23" t="n">
        <v>14439</v>
      </c>
      <c r="C39" s="24" t="inlineStr">
        <is>
          <t>N/A</t>
        </is>
      </c>
      <c r="D39" s="24" t="inlineStr">
        <is>
          <t>N/A</t>
        </is>
      </c>
      <c r="E39" s="25">
        <f>IF(ISNUMBER(B39),B39/B39,"")</f>
        <v/>
      </c>
      <c r="F39" s="24" t="n"/>
    </row>
    <row r="41" ht="16" customHeight="1">
      <c r="A41" s="17" t="inlineStr">
        <is>
          <t>Scotiabank (BNS) — FY2024 (Year ended Oct 31, 2024)</t>
        </is>
      </c>
    </row>
    <row r="42">
      <c r="A42" s="4" t="inlineStr">
        <is>
          <t>Segment</t>
        </is>
      </c>
      <c r="B42" s="4" t="inlineStr">
        <is>
          <t>FY2025 NIE ($M)</t>
        </is>
      </c>
      <c r="C42" s="4" t="inlineStr">
        <is>
          <t>FY2024 NIE ($M)</t>
        </is>
      </c>
      <c r="D42" s="4" t="inlineStr">
        <is>
          <t>YoY Change</t>
        </is>
      </c>
      <c r="E42" s="4" t="inlineStr">
        <is>
          <t>% of Total NIE</t>
        </is>
      </c>
      <c r="F42" s="4" t="inlineStr">
        <is>
          <t>Source</t>
        </is>
      </c>
    </row>
    <row r="43">
      <c r="A43" s="18" t="inlineStr">
        <is>
          <t>Canadian Banking</t>
        </is>
      </c>
      <c r="B43" s="19" t="n">
        <v>6118</v>
      </c>
      <c r="C43" s="20" t="inlineStr">
        <is>
          <t>N/A</t>
        </is>
      </c>
      <c r="D43" s="20" t="inlineStr">
        <is>
          <t>N/A</t>
        </is>
      </c>
      <c r="E43" s="21">
        <f>IF(ISNUMBER(B43),B43/B48,"")</f>
        <v/>
      </c>
      <c r="F43" s="20" t="inlineStr">
        <is>
          <t>BNS Q4 2024 Supplementary Financial Info</t>
        </is>
      </c>
    </row>
    <row r="44">
      <c r="A44" s="18" t="inlineStr">
        <is>
          <t>International Banking</t>
        </is>
      </c>
      <c r="B44" s="19" t="n">
        <v>6131</v>
      </c>
      <c r="C44" s="20" t="inlineStr">
        <is>
          <t>N/A</t>
        </is>
      </c>
      <c r="D44" s="20" t="inlineStr">
        <is>
          <t>N/A</t>
        </is>
      </c>
      <c r="E44" s="21">
        <f>IF(ISNUMBER(B44),B44/B48,"")</f>
        <v/>
      </c>
      <c r="F44" s="20" t="inlineStr">
        <is>
          <t>BNS Q4 2024 Supplementary Financial Info</t>
        </is>
      </c>
    </row>
    <row r="45">
      <c r="A45" s="18" t="inlineStr">
        <is>
          <t>Global Wealth Management</t>
        </is>
      </c>
      <c r="B45" s="19" t="n">
        <v>1633</v>
      </c>
      <c r="C45" s="20" t="inlineStr">
        <is>
          <t>N/A</t>
        </is>
      </c>
      <c r="D45" s="20" t="inlineStr">
        <is>
          <t>N/A</t>
        </is>
      </c>
      <c r="E45" s="21">
        <f>IF(ISNUMBER(B45),B45/B48,"")</f>
        <v/>
      </c>
      <c r="F45" s="20" t="inlineStr">
        <is>
          <t>BNS Q4 2024 Supplementary Financial Info</t>
        </is>
      </c>
    </row>
    <row r="46">
      <c r="A46" s="18" t="inlineStr">
        <is>
          <t>Global Banking &amp; Markets</t>
        </is>
      </c>
      <c r="B46" s="19" t="n">
        <v>3109</v>
      </c>
      <c r="C46" s="20" t="inlineStr">
        <is>
          <t>N/A</t>
        </is>
      </c>
      <c r="D46" s="20" t="inlineStr">
        <is>
          <t>N/A</t>
        </is>
      </c>
      <c r="E46" s="21">
        <f>IF(ISNUMBER(B46),B46/B48,"")</f>
        <v/>
      </c>
      <c r="F46" s="20" t="inlineStr">
        <is>
          <t>BNS Q4 2024 Supplementary Financial Info</t>
        </is>
      </c>
    </row>
    <row r="47">
      <c r="A47" s="9" t="inlineStr">
        <is>
          <t>Other</t>
        </is>
      </c>
      <c r="B47" s="10" t="n">
        <v>637</v>
      </c>
      <c r="C47" s="12" t="inlineStr">
        <is>
          <t>N/A</t>
        </is>
      </c>
      <c r="D47" s="12" t="inlineStr">
        <is>
          <t>N/A</t>
        </is>
      </c>
      <c r="E47" s="11">
        <f>IF(ISNUMBER(B47),B47/B48,"")</f>
        <v/>
      </c>
      <c r="F47" s="12" t="inlineStr">
        <is>
          <t>BNS Q4 2024 Supplementary Financial Info</t>
        </is>
      </c>
    </row>
    <row r="48">
      <c r="A48" s="22" t="inlineStr">
        <is>
          <t>TOTAL</t>
        </is>
      </c>
      <c r="B48" s="23" t="n">
        <v>19695</v>
      </c>
      <c r="C48" s="24" t="inlineStr">
        <is>
          <t>N/A</t>
        </is>
      </c>
      <c r="D48" s="24" t="inlineStr">
        <is>
          <t>N/A</t>
        </is>
      </c>
      <c r="E48" s="25">
        <f>IF(ISNUMBER(B48),B48/B48,"")</f>
        <v/>
      </c>
      <c r="F48" s="24" t="n"/>
    </row>
    <row r="50" ht="16" customHeight="1">
      <c r="A50" s="17" t="inlineStr">
        <is>
          <t>National Bank (NA) — FY2024 (Year ended Oct 31, 2024)</t>
        </is>
      </c>
    </row>
    <row r="51">
      <c r="A51" s="4" t="inlineStr">
        <is>
          <t>Segment</t>
        </is>
      </c>
      <c r="B51" s="4" t="inlineStr">
        <is>
          <t>FY2025 NIE ($M)</t>
        </is>
      </c>
      <c r="C51" s="4" t="inlineStr">
        <is>
          <t>FY2024 NIE ($M)</t>
        </is>
      </c>
      <c r="D51" s="4" t="inlineStr">
        <is>
          <t>YoY Change</t>
        </is>
      </c>
      <c r="E51" s="4" t="inlineStr">
        <is>
          <t>% of Total NIE</t>
        </is>
      </c>
      <c r="F51" s="4" t="inlineStr">
        <is>
          <t>Source</t>
        </is>
      </c>
    </row>
    <row r="52">
      <c r="A52" s="18" t="inlineStr">
        <is>
          <t>Personal &amp; Commercial Banking</t>
        </is>
      </c>
      <c r="B52" s="19" t="n">
        <v>2486</v>
      </c>
      <c r="C52" s="20" t="inlineStr">
        <is>
          <t>N/A</t>
        </is>
      </c>
      <c r="D52" s="20" t="inlineStr">
        <is>
          <t>N/A</t>
        </is>
      </c>
      <c r="E52" s="21">
        <f>IF(ISNUMBER(B52),B52/B57,"")</f>
        <v/>
      </c>
      <c r="F52" s="20" t="inlineStr">
        <is>
          <t>NA Q4 2024 Earnings Release</t>
        </is>
      </c>
    </row>
    <row r="53">
      <c r="A53" s="18" t="inlineStr">
        <is>
          <t>Wealth Management</t>
        </is>
      </c>
      <c r="B53" s="19" t="n">
        <v>1633</v>
      </c>
      <c r="C53" s="20" t="inlineStr">
        <is>
          <t>N/A</t>
        </is>
      </c>
      <c r="D53" s="20" t="inlineStr">
        <is>
          <t>N/A</t>
        </is>
      </c>
      <c r="E53" s="21">
        <f>IF(ISNUMBER(B53),B53/B57,"")</f>
        <v/>
      </c>
      <c r="F53" s="20" t="inlineStr">
        <is>
          <t>NA Q4 2024 Earnings Release</t>
        </is>
      </c>
    </row>
    <row r="54">
      <c r="A54" s="18" t="inlineStr">
        <is>
          <t>Financial Markets</t>
        </is>
      </c>
      <c r="B54" s="19" t="n">
        <v>1246</v>
      </c>
      <c r="C54" s="20" t="inlineStr">
        <is>
          <t>N/A</t>
        </is>
      </c>
      <c r="D54" s="20" t="inlineStr">
        <is>
          <t>N/A</t>
        </is>
      </c>
      <c r="E54" s="21">
        <f>IF(ISNUMBER(B54),B54/B57,"")</f>
        <v/>
      </c>
      <c r="F54" s="20" t="inlineStr">
        <is>
          <t>NA Q4 2024 Earnings Release</t>
        </is>
      </c>
    </row>
    <row r="55">
      <c r="A55" s="18" t="inlineStr">
        <is>
          <t>U.S. Specialty Finance &amp; International</t>
        </is>
      </c>
      <c r="B55" s="19" t="n">
        <v>439</v>
      </c>
      <c r="C55" s="20" t="inlineStr">
        <is>
          <t>N/A</t>
        </is>
      </c>
      <c r="D55" s="20" t="inlineStr">
        <is>
          <t>N/A</t>
        </is>
      </c>
      <c r="E55" s="21">
        <f>IF(ISNUMBER(B55),B55/B57,"")</f>
        <v/>
      </c>
      <c r="F55" s="20" t="inlineStr">
        <is>
          <t>NA Q4 2024 Earnings Release</t>
        </is>
      </c>
    </row>
    <row r="56">
      <c r="A56" s="9" t="inlineStr">
        <is>
          <t>Other</t>
        </is>
      </c>
      <c r="B56" s="10" t="n">
        <v>250</v>
      </c>
      <c r="C56" s="12" t="inlineStr">
        <is>
          <t>N/A</t>
        </is>
      </c>
      <c r="D56" s="12" t="inlineStr">
        <is>
          <t>N/A</t>
        </is>
      </c>
      <c r="E56" s="11">
        <f>IF(ISNUMBER(B56),B56/B57,"")</f>
        <v/>
      </c>
      <c r="F56" s="12" t="inlineStr">
        <is>
          <t>NA Q4 2024 Earnings Release</t>
        </is>
      </c>
    </row>
    <row r="57">
      <c r="A57" s="22" t="inlineStr">
        <is>
          <t>TOTAL</t>
        </is>
      </c>
      <c r="B57" s="23" t="n">
        <v>6054</v>
      </c>
      <c r="C57" s="24" t="inlineStr">
        <is>
          <t>N/A</t>
        </is>
      </c>
      <c r="D57" s="24" t="inlineStr">
        <is>
          <t>N/A</t>
        </is>
      </c>
      <c r="E57" s="25">
        <f>IF(ISNUMBER(B57),B57/B57,"")</f>
        <v/>
      </c>
      <c r="F57" s="2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CC0000"/>
    <outlinePr summaryBelow="1" summaryRight="1"/>
    <pageSetUpPr/>
  </sheetPr>
  <dimension ref="A1:G23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10" customWidth="1" min="1" max="1"/>
    <col width="16" customWidth="1" min="2" max="3"/>
    <col width="14" customWidth="1" min="4" max="4"/>
    <col width="12" customWidth="1" min="5" max="5"/>
    <col width="22" customWidth="1" min="6" max="6"/>
    <col width="70" customWidth="1" min="7" max="7"/>
  </cols>
  <sheetData>
    <row r="1" ht="18" customHeight="1">
      <c r="A1" s="1" t="inlineStr">
        <is>
          <t>Corporate / Support Segment NIE as % of Total — Peer Comparison (PUBLIC)</t>
        </is>
      </c>
    </row>
    <row r="2">
      <c r="A2" s="42" t="inlineStr">
        <is>
          <t>Prepared by MIA. Based entirely on publicly available information. No internal BMO data was used.</t>
        </is>
      </c>
    </row>
    <row r="3">
      <c r="A3" s="26" t="inlineStr">
        <is>
          <t>CRITICAL CAVEAT: Each bank defines 'Corporate' differently. See methodology notes below.</t>
        </is>
      </c>
    </row>
    <row r="5" ht="28" customHeight="1">
      <c r="A5" s="4" t="inlineStr">
        <is>
          <t>Bank</t>
        </is>
      </c>
      <c r="B5" s="4" t="inlineStr">
        <is>
          <t>Corporate Seg.
NIE ($M)</t>
        </is>
      </c>
      <c r="C5" s="4" t="inlineStr">
        <is>
          <t>Total NIE ($M)</t>
        </is>
      </c>
      <c r="D5" s="4" t="inlineStr">
        <is>
          <t>Corporate %
of Total NIE</t>
        </is>
      </c>
      <c r="E5" s="4" t="inlineStr">
        <is>
          <t>Fiscal Year</t>
        </is>
      </c>
      <c r="F5" s="4" t="inlineStr">
        <is>
          <t>Corporate Segment Label</t>
        </is>
      </c>
      <c r="G5" s="4" t="inlineStr">
        <is>
          <t>What's Included</t>
        </is>
      </c>
    </row>
    <row r="6" ht="28" customHeight="1">
      <c r="A6" s="9" t="inlineStr">
        <is>
          <t>BMO</t>
        </is>
      </c>
      <c r="B6" s="10" t="n">
        <v>5570</v>
      </c>
      <c r="C6" s="10" t="n">
        <v>17107</v>
      </c>
      <c r="D6" s="11">
        <f>B6/C6</f>
        <v/>
      </c>
      <c r="E6" s="12" t="inlineStr">
        <is>
          <t>FY2025</t>
        </is>
      </c>
      <c r="F6" s="12" t="inlineStr">
        <is>
          <t>Corporate Services</t>
        </is>
      </c>
      <c r="G6" s="9" t="inlineStr">
        <is>
          <t>Technology &amp; Operations (T&amp;O) + Corporate Areas. T&amp;O costs are allocated across LOBs but residual stays here. LARGEST corporate segment of all Big 6.</t>
        </is>
      </c>
    </row>
    <row r="7" ht="28" customHeight="1">
      <c r="A7" s="18" t="inlineStr">
        <is>
          <t>RBC</t>
        </is>
      </c>
      <c r="B7" s="19" t="n">
        <v>1167</v>
      </c>
      <c r="C7" s="19" t="n">
        <v>34250</v>
      </c>
      <c r="D7" s="21">
        <f>B7/C7</f>
        <v/>
      </c>
      <c r="E7" s="20" t="inlineStr">
        <is>
          <t>FY2024</t>
        </is>
      </c>
      <c r="F7" s="20" t="inlineStr">
        <is>
          <t>Corporate Support</t>
        </is>
      </c>
      <c r="G7" s="18" t="inlineStr">
        <is>
          <t>Unallocated corporate support functions. Most T&amp;O costs are allocated to business segments. Includes HSBC Canada integration costs.</t>
        </is>
      </c>
    </row>
    <row r="8" ht="28" customHeight="1">
      <c r="A8" s="18" t="inlineStr">
        <is>
          <t>TD</t>
        </is>
      </c>
      <c r="B8" s="19" t="n">
        <v>323</v>
      </c>
      <c r="C8" s="19" t="n">
        <v>21919</v>
      </c>
      <c r="D8" s="21">
        <f>B8/C8</f>
        <v/>
      </c>
      <c r="E8" s="20" t="inlineStr">
        <is>
          <t>FY2024</t>
        </is>
      </c>
      <c r="F8" s="20" t="inlineStr">
        <is>
          <t>Corporate</t>
        </is>
      </c>
      <c r="G8" s="18" t="inlineStr">
        <is>
          <t>Net corporate expenses after allocations. Very low because TD allocates most shared services to LOBs. Includes AML remediation infrastructure costs.</t>
        </is>
      </c>
    </row>
    <row r="9" ht="28" customHeight="1">
      <c r="A9" s="18" t="inlineStr">
        <is>
          <t>CIBC</t>
        </is>
      </c>
      <c r="B9" s="19" t="n">
        <v>1470</v>
      </c>
      <c r="C9" s="19" t="n">
        <v>14439</v>
      </c>
      <c r="D9" s="21">
        <f>B9/C9</f>
        <v/>
      </c>
      <c r="E9" s="20" t="inlineStr">
        <is>
          <t>FY2024</t>
        </is>
      </c>
      <c r="F9" s="20" t="inlineStr">
        <is>
          <t>Corporate and Other</t>
        </is>
      </c>
      <c r="G9" s="18" t="inlineStr">
        <is>
          <t>Unallocated overhead, enterprise-level technology, strategic initiatives. Includes items not directly attributable to business lines.</t>
        </is>
      </c>
    </row>
    <row r="10" ht="28" customHeight="1">
      <c r="A10" s="18" t="inlineStr">
        <is>
          <t>BNS</t>
        </is>
      </c>
      <c r="B10" s="19" t="n">
        <v>637</v>
      </c>
      <c r="C10" s="19" t="n">
        <v>19695</v>
      </c>
      <c r="D10" s="21">
        <f>B10/C10</f>
        <v/>
      </c>
      <c r="E10" s="20" t="inlineStr">
        <is>
          <t>FY2024</t>
        </is>
      </c>
      <c r="F10" s="20" t="inlineStr">
        <is>
          <t>Other</t>
        </is>
      </c>
      <c r="G10" s="18" t="inlineStr">
        <is>
          <t>Group Treasury, unallocated items, corporate functions. Most technology and ops costs allocated to business segments.</t>
        </is>
      </c>
    </row>
    <row r="11" ht="28" customHeight="1">
      <c r="A11" s="18" t="inlineStr">
        <is>
          <t>NA</t>
        </is>
      </c>
      <c r="B11" s="19" t="n">
        <v>250</v>
      </c>
      <c r="C11" s="19" t="n">
        <v>6054</v>
      </c>
      <c r="D11" s="21">
        <f>B11/C11</f>
        <v/>
      </c>
      <c r="E11" s="20" t="inlineStr">
        <is>
          <t>FY2024</t>
        </is>
      </c>
      <c r="F11" s="20" t="inlineStr">
        <is>
          <t>Other</t>
        </is>
      </c>
      <c r="G11" s="18" t="inlineStr">
        <is>
          <t>Corporate functions and unallocated expenses. Relatively small residual after allocations.</t>
        </is>
      </c>
    </row>
    <row r="13" ht="16" customHeight="1">
      <c r="A13" s="27" t="inlineStr">
        <is>
          <t>KEY FINDING</t>
        </is>
      </c>
    </row>
    <row r="14">
      <c r="A14" s="28" t="inlineStr">
        <is>
          <t>BMO's Corporate Services segment accounts for 32.6% of total NIE — roughly 10x TD's 1.5% and 2-3x the levels of RBC (3.4%), BNS (3.2%), and NA (4.1%).</t>
        </is>
      </c>
    </row>
    <row r="15">
      <c r="A15" s="28" t="inlineStr">
        <is>
          <t>CIBC is the only peer with a comparable ratio at 10.2%, but still far below BMO.</t>
        </is>
      </c>
    </row>
    <row r="17">
      <c r="A17" s="29" t="inlineStr">
        <is>
          <t>HOWEVER — this comparison is MISLEADING without understanding allocation methodology:</t>
        </is>
      </c>
    </row>
    <row r="19">
      <c r="A19" s="2" t="inlineStr">
        <is>
          <t>• BMO appears to retain most T&amp;O costs in Corporate Services rather than allocating them to LOBs</t>
        </is>
      </c>
    </row>
    <row r="20">
      <c r="A20" s="2" t="inlineStr">
        <is>
          <t>• TD and RBC allocate most shared service costs to business segments, resulting in very low 'Corporate' residuals</t>
        </is>
      </c>
    </row>
    <row r="21">
      <c r="A21" s="2" t="inlineStr">
        <is>
          <t>• The TRUE comparison is: BMO LOB NIE is LOWER than peers because support costs sit in Corporate Services</t>
        </is>
      </c>
    </row>
    <row r="22">
      <c r="A22" s="2" t="inlineStr">
        <is>
          <t>• To normalize: we need to either (a) add Corporate back to LOBs proportionally, or (b) compare total efficiency ratios</t>
        </is>
      </c>
    </row>
    <row r="23">
      <c r="A23" s="2" t="inlineStr">
        <is>
          <t>• The ADJUSTED analysis on the next sheet attempts this normalization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7030A0"/>
    <outlinePr summaryBelow="1" summaryRight="1"/>
    <pageSetUpPr/>
  </sheetPr>
  <dimension ref="A1:I36"/>
  <sheetViews>
    <sheetView topLeftCell="A17" zoomScaleNormal="100" workbookViewId="0">
      <selection activeCell="D21" sqref="D21"/>
    </sheetView>
  </sheetViews>
  <sheetFormatPr baseColWidth="10" defaultColWidth="8.6640625" defaultRowHeight="15" customHeight="1"/>
  <cols>
    <col width="10" customWidth="1" min="1" max="1"/>
    <col width="14" customWidth="1" min="2" max="4"/>
    <col width="16" customWidth="1" min="5" max="5"/>
    <col width="14" customWidth="1" min="6" max="9"/>
  </cols>
  <sheetData>
    <row r="1" ht="18" customHeight="1">
      <c r="A1" s="1" t="inlineStr">
        <is>
          <t>Fermi Estimation: TOCA Headcount as % of Total FTE — Prepared by MIA (PUBLIC)</t>
        </is>
      </c>
    </row>
    <row r="2">
      <c r="A2" s="42" t="inlineStr">
        <is>
          <t>Based entirely on publicly available information. No internal BMO data was used.</t>
        </is>
      </c>
    </row>
    <row r="4" ht="16" customHeight="1">
      <c r="A4" s="17" t="inlineStr">
        <is>
          <t>METHOD 1: Corporate Segment NIE % as Upper-Bound Proxy for TOCA Headcount %</t>
        </is>
      </c>
    </row>
    <row r="5">
      <c r="A5" s="2" t="inlineStr">
        <is>
          <t>Assumption: If ~65% of corporate segment costs are labor (per BMO Apptio disclosure), then corporate NIE % ≈ TOCA headcount % (adjusted for higher avg comp in T&amp;O).</t>
        </is>
      </c>
    </row>
    <row r="6">
      <c r="A6" s="30" t="inlineStr">
        <is>
          <t>IMPORTANT: This overstates TOCA for BMO and understates it for TD/RBC due to different allocation methodologies.</t>
        </is>
      </c>
    </row>
    <row r="7" ht="28" customHeight="1">
      <c r="A7" s="4" t="inlineStr">
        <is>
          <t>Bank</t>
        </is>
      </c>
      <c r="B7" s="4" t="inlineStr">
        <is>
          <t>Corporate
NIE ($M)</t>
        </is>
      </c>
      <c r="C7" s="4" t="inlineStr">
        <is>
          <t>Total
NIE ($M)</t>
        </is>
      </c>
      <c r="D7" s="4" t="inlineStr">
        <is>
          <t>Corp NIE %
(Raw)</t>
        </is>
      </c>
      <c r="E7" s="4" t="inlineStr">
        <is>
          <t>Allocation
Adjustment</t>
        </is>
      </c>
      <c r="F7" s="4" t="inlineStr">
        <is>
          <t>Estimated True
TOCA NIE %</t>
        </is>
      </c>
      <c r="G7" s="4" t="inlineStr">
        <is>
          <t>Total FTE</t>
        </is>
      </c>
      <c r="H7" s="4" t="inlineStr">
        <is>
          <t>Est. TOCA
FTE</t>
        </is>
      </c>
      <c r="I7" s="4" t="inlineStr">
        <is>
          <t>Est. LOB
FTE</t>
        </is>
      </c>
    </row>
    <row r="8">
      <c r="A8" s="9" t="inlineStr">
        <is>
          <t>BMO</t>
        </is>
      </c>
      <c r="B8" s="10" t="n">
        <v>5570</v>
      </c>
      <c r="C8" s="10" t="n">
        <v>17107</v>
      </c>
      <c r="D8" s="11">
        <f>B8/C8</f>
        <v/>
      </c>
      <c r="E8" s="12" t="inlineStr">
        <is>
          <t>0.95x (most T&amp;O retained)</t>
        </is>
      </c>
      <c r="F8" s="11" t="n">
        <v>0.31</v>
      </c>
      <c r="G8" s="10" t="n">
        <v>53234</v>
      </c>
      <c r="H8" s="10" t="n">
        <v>16503</v>
      </c>
      <c r="I8" s="10" t="n">
        <v>36731</v>
      </c>
    </row>
    <row r="9">
      <c r="A9" s="18" t="inlineStr">
        <is>
          <t>RBC</t>
        </is>
      </c>
      <c r="B9" s="19" t="n">
        <v>1167</v>
      </c>
      <c r="C9" s="19" t="n">
        <v>34250</v>
      </c>
      <c r="D9" s="21">
        <f>B9/C9</f>
        <v/>
      </c>
      <c r="E9" s="20" t="inlineStr">
        <is>
          <t>+15% for allocated T&amp;O</t>
        </is>
      </c>
      <c r="F9" s="21" t="n">
        <v>0.185</v>
      </c>
      <c r="G9" s="19" t="n">
        <v>94838</v>
      </c>
      <c r="H9" s="19" t="n">
        <v>17545</v>
      </c>
      <c r="I9" s="19" t="n">
        <v>77293</v>
      </c>
    </row>
    <row r="10">
      <c r="A10" s="18" t="inlineStr">
        <is>
          <t>TD</t>
        </is>
      </c>
      <c r="B10" s="19" t="n">
        <v>323</v>
      </c>
      <c r="C10" s="19" t="n">
        <v>21919</v>
      </c>
      <c r="D10" s="21">
        <f>B10/C10</f>
        <v/>
      </c>
      <c r="E10" s="20" t="inlineStr">
        <is>
          <t>+20% for allocated T&amp;O/shared svcs</t>
        </is>
      </c>
      <c r="F10" s="21" t="n">
        <v>0.215</v>
      </c>
      <c r="G10" s="19" t="n">
        <v>102190</v>
      </c>
      <c r="H10" s="19" t="n">
        <v>21971</v>
      </c>
      <c r="I10" s="19" t="n">
        <v>80219</v>
      </c>
    </row>
    <row r="11">
      <c r="A11" s="18" t="inlineStr">
        <is>
          <t>CIBC</t>
        </is>
      </c>
      <c r="B11" s="19" t="n">
        <v>1470</v>
      </c>
      <c r="C11" s="19" t="n">
        <v>14439</v>
      </c>
      <c r="D11" s="21">
        <f>B11/C11</f>
        <v/>
      </c>
      <c r="E11" s="20" t="inlineStr">
        <is>
          <t>+10% for allocated T&amp;O</t>
        </is>
      </c>
      <c r="F11" s="21" t="n">
        <v>0.202</v>
      </c>
      <c r="G11" s="19" t="n">
        <v>48552</v>
      </c>
      <c r="H11" s="19" t="n">
        <v>9808</v>
      </c>
      <c r="I11" s="19" t="n">
        <v>38744</v>
      </c>
    </row>
    <row r="12">
      <c r="A12" s="18" t="inlineStr">
        <is>
          <t>BNS</t>
        </is>
      </c>
      <c r="B12" s="19" t="n">
        <v>637</v>
      </c>
      <c r="C12" s="19" t="n">
        <v>19695</v>
      </c>
      <c r="D12" s="21">
        <f>B12/C12</f>
        <v/>
      </c>
      <c r="E12" s="20" t="inlineStr">
        <is>
          <t>+15% for allocated T&amp;O</t>
        </is>
      </c>
      <c r="F12" s="21" t="n">
        <v>0.183</v>
      </c>
      <c r="G12" s="19" t="n">
        <v>88488</v>
      </c>
      <c r="H12" s="19" t="n">
        <v>16193</v>
      </c>
      <c r="I12" s="19" t="n">
        <v>72295</v>
      </c>
    </row>
    <row r="13">
      <c r="A13" s="18" t="inlineStr">
        <is>
          <t>NA</t>
        </is>
      </c>
      <c r="B13" s="19" t="n">
        <v>250</v>
      </c>
      <c r="C13" s="19" t="n">
        <v>6054</v>
      </c>
      <c r="D13" s="21">
        <f>B13/C13</f>
        <v/>
      </c>
      <c r="E13" s="20" t="inlineStr">
        <is>
          <t>+12% for allocated T&amp;O</t>
        </is>
      </c>
      <c r="F13" s="21" t="n">
        <v>0.161</v>
      </c>
      <c r="G13" s="19" t="n">
        <v>31303</v>
      </c>
      <c r="H13" s="19" t="n">
        <v>5040</v>
      </c>
      <c r="I13" s="19" t="n">
        <v>26263</v>
      </c>
    </row>
    <row r="16" ht="16" customHeight="1">
      <c r="A16" s="17" t="inlineStr">
        <is>
          <t>METHOD 2: Technology Spending as Anchor for T&amp;O Headcount</t>
        </is>
      </c>
    </row>
    <row r="17">
      <c r="A17" s="2" t="inlineStr">
        <is>
          <t>Known tech spending ÷ estimated avg T&amp;O compensation ($120-150K CAD) = technology headcount estimate. Add operations + corporate overhead.</t>
        </is>
      </c>
    </row>
    <row r="18" ht="28" customHeight="1">
      <c r="A18" s="4" t="inlineStr">
        <is>
          <t>Bank</t>
        </is>
      </c>
      <c r="B18" s="4" t="inlineStr">
        <is>
          <t>Known Tech
Spend ($M)</t>
        </is>
      </c>
      <c r="C18" s="4" t="inlineStr">
        <is>
          <t>Est. Tech
Labor 65% ($M)</t>
        </is>
      </c>
      <c r="D18" s="4" t="inlineStr">
        <is>
          <t>Avg T&amp;O
Comp ($K)</t>
        </is>
      </c>
      <c r="E18" s="4" t="inlineStr">
        <is>
          <t>Est. Tech
Headcount</t>
        </is>
      </c>
      <c r="F18" s="4" t="inlineStr">
        <is>
          <t>Add Ops &amp;
Corp (+40%)</t>
        </is>
      </c>
      <c r="G18" s="4" t="inlineStr">
        <is>
          <t>Est. Total
TOCA FTE</t>
        </is>
      </c>
      <c r="H18" s="4" t="inlineStr">
        <is>
          <t>Total FTE</t>
        </is>
      </c>
      <c r="I18" s="4" t="inlineStr">
        <is>
          <t>TOCA %
of Total</t>
        </is>
      </c>
    </row>
    <row r="19">
      <c r="A19" s="9" t="inlineStr">
        <is>
          <t>BMO</t>
        </is>
      </c>
      <c r="B19" s="10" t="n">
        <v>3500</v>
      </c>
      <c r="C19" s="10" t="n">
        <v>2275</v>
      </c>
      <c r="D19" s="31" t="n">
        <v>140</v>
      </c>
      <c r="E19" s="10" t="n">
        <v>16250</v>
      </c>
      <c r="F19" s="32" t="n">
        <v>1.4</v>
      </c>
      <c r="G19" s="10" t="n">
        <v>22750</v>
      </c>
      <c r="H19" s="10" t="n">
        <v>53234</v>
      </c>
      <c r="I19" s="11" t="n">
        <v>0.427358455122666</v>
      </c>
    </row>
    <row r="20">
      <c r="A20" s="18" t="inlineStr">
        <is>
          <t>RBC</t>
        </is>
      </c>
      <c r="B20" s="19" t="n">
        <v>5000</v>
      </c>
      <c r="C20" s="19" t="n">
        <v>3250</v>
      </c>
      <c r="D20" s="33" t="n">
        <v>145</v>
      </c>
      <c r="E20" s="19" t="n">
        <v>22414</v>
      </c>
      <c r="F20" s="34" t="n">
        <v>1.4</v>
      </c>
      <c r="G20" s="19" t="n">
        <v>31380</v>
      </c>
      <c r="H20" s="19" t="n">
        <v>94838</v>
      </c>
      <c r="I20" s="21" t="n">
        <v>0.330880026993399</v>
      </c>
    </row>
    <row r="21">
      <c r="A21" s="18" t="inlineStr">
        <is>
          <t>TD</t>
        </is>
      </c>
      <c r="B21" s="19" t="n">
        <v>4000</v>
      </c>
      <c r="C21" s="19" t="n">
        <v>2600</v>
      </c>
      <c r="D21" s="33" t="n">
        <v>140</v>
      </c>
      <c r="E21" s="19" t="n">
        <v>18571</v>
      </c>
      <c r="F21" s="34" t="n">
        <v>1.4</v>
      </c>
      <c r="G21" s="19" t="n">
        <v>25999</v>
      </c>
      <c r="H21" s="19" t="n">
        <v>102190</v>
      </c>
      <c r="I21" s="21" t="n">
        <v>0.254418240532342</v>
      </c>
    </row>
    <row r="22">
      <c r="A22" s="18" t="inlineStr">
        <is>
          <t>CIBC</t>
        </is>
      </c>
      <c r="B22" s="19" t="n">
        <v>2500</v>
      </c>
      <c r="C22" s="19" t="n">
        <v>1625</v>
      </c>
      <c r="D22" s="33" t="n">
        <v>135</v>
      </c>
      <c r="E22" s="19" t="n">
        <v>12037</v>
      </c>
      <c r="F22" s="34" t="n">
        <v>1.4</v>
      </c>
      <c r="G22" s="19" t="n">
        <v>16852</v>
      </c>
      <c r="H22" s="19" t="n">
        <v>48552</v>
      </c>
      <c r="I22" s="21" t="n">
        <v>0.347091777887626</v>
      </c>
    </row>
    <row r="23">
      <c r="A23" s="18" t="inlineStr">
        <is>
          <t>BNS</t>
        </is>
      </c>
      <c r="B23" s="19" t="n">
        <v>2300</v>
      </c>
      <c r="C23" s="19" t="n">
        <v>1495</v>
      </c>
      <c r="D23" s="33" t="n">
        <v>130</v>
      </c>
      <c r="E23" s="19" t="n">
        <v>11500</v>
      </c>
      <c r="F23" s="34" t="n">
        <v>1.4</v>
      </c>
      <c r="G23" s="19" t="n">
        <v>16100</v>
      </c>
      <c r="H23" s="19" t="n">
        <v>88488</v>
      </c>
      <c r="I23" s="21" t="n">
        <v>0.181945574541181</v>
      </c>
    </row>
    <row r="24">
      <c r="A24" s="18" t="inlineStr">
        <is>
          <t>NA</t>
        </is>
      </c>
      <c r="B24" s="19" t="n">
        <v>1200</v>
      </c>
      <c r="C24" s="19" t="n">
        <v>780</v>
      </c>
      <c r="D24" s="33" t="n">
        <v>130</v>
      </c>
      <c r="E24" s="19" t="n">
        <v>6000</v>
      </c>
      <c r="F24" s="34" t="n">
        <v>1.4</v>
      </c>
      <c r="G24" s="19" t="n">
        <v>8400</v>
      </c>
      <c r="H24" s="19" t="n">
        <v>31303</v>
      </c>
      <c r="I24" s="21" t="n">
        <v>0.268344887071527</v>
      </c>
    </row>
    <row r="27" ht="16" customHeight="1">
      <c r="A27" s="17" t="inlineStr">
        <is>
          <t>METHOD 3: Triangulation — Cross-Validating with Industry Benchmarks</t>
        </is>
      </c>
    </row>
    <row r="28">
      <c r="A28" s="2" t="inlineStr">
        <is>
          <t>Global banking benchmark: Large universal banks typically have 28-38% of workforce in support functions (McKinsey, Accenture).</t>
        </is>
      </c>
    </row>
    <row r="29">
      <c r="A29" s="2" t="inlineStr">
        <is>
          <t>Canadian banks tend toward lower end due to simpler regulatory structure, but BMO's U.S. expansion may push higher.</t>
        </is>
      </c>
    </row>
    <row r="30" ht="28" customHeight="1">
      <c r="A30" s="4" t="inlineStr">
        <is>
          <t>Bank</t>
        </is>
      </c>
      <c r="B30" s="4" t="inlineStr">
        <is>
          <t>Method 1
TOCA %</t>
        </is>
      </c>
      <c r="C30" s="4" t="inlineStr">
        <is>
          <t>Method 2
TOCA %</t>
        </is>
      </c>
      <c r="D30" s="4" t="inlineStr">
        <is>
          <t>Industry
Benchmark</t>
        </is>
      </c>
      <c r="E30" s="4" t="inlineStr">
        <is>
          <t>Best Estimate
TOCA %</t>
        </is>
      </c>
      <c r="F30" s="4" t="inlineStr">
        <is>
          <t>Confidence</t>
        </is>
      </c>
      <c r="G30" s="4" t="inlineStr">
        <is>
          <t>Total FTE</t>
        </is>
      </c>
      <c r="H30" s="4" t="inlineStr">
        <is>
          <t>Est. TOCA
FTE</t>
        </is>
      </c>
      <c r="I30" s="4" t="inlineStr">
        <is>
          <t>Est. LOB
FTE</t>
        </is>
      </c>
    </row>
    <row r="31">
      <c r="A31" s="9" t="inlineStr">
        <is>
          <t>BMO</t>
        </is>
      </c>
      <c r="B31" s="11" t="n">
        <v>0.31</v>
      </c>
      <c r="C31" s="11" t="n">
        <v>0.427358455122666</v>
      </c>
      <c r="D31" s="12" t="inlineStr">
        <is>
          <t>30-38%</t>
        </is>
      </c>
      <c r="E31" s="11" t="n">
        <v>0.33</v>
      </c>
      <c r="F31" s="12" t="inlineStr">
        <is>
          <t>Medium-High</t>
        </is>
      </c>
      <c r="G31" s="10" t="n">
        <v>53234</v>
      </c>
      <c r="H31" s="10" t="n">
        <v>17567</v>
      </c>
      <c r="I31" s="10" t="n">
        <v>35667</v>
      </c>
    </row>
    <row r="32">
      <c r="A32" s="18" t="inlineStr">
        <is>
          <t>RBC</t>
        </is>
      </c>
      <c r="B32" s="21" t="n">
        <v>0.185</v>
      </c>
      <c r="C32" s="21" t="n">
        <v>0.330869482696809</v>
      </c>
      <c r="D32" s="20" t="inlineStr">
        <is>
          <t>28-32%</t>
        </is>
      </c>
      <c r="E32" s="21" t="n">
        <v>0.28</v>
      </c>
      <c r="F32" s="20" t="inlineStr">
        <is>
          <t>Medium</t>
        </is>
      </c>
      <c r="G32" s="19" t="n">
        <v>94838</v>
      </c>
      <c r="H32" s="19" t="n">
        <v>26555</v>
      </c>
      <c r="I32" s="19" t="n">
        <v>68283</v>
      </c>
    </row>
    <row r="33">
      <c r="A33" s="18" t="inlineStr">
        <is>
          <t>TD</t>
        </is>
      </c>
      <c r="B33" s="21" t="n">
        <v>0.215</v>
      </c>
      <c r="C33" s="21" t="n">
        <v>0.254428026225658</v>
      </c>
      <c r="D33" s="20" t="inlineStr">
        <is>
          <t>28-33%</t>
        </is>
      </c>
      <c r="E33" s="21" t="n">
        <v>0.3</v>
      </c>
      <c r="F33" s="20" t="inlineStr">
        <is>
          <t>Medium</t>
        </is>
      </c>
      <c r="G33" s="19" t="n">
        <v>102190</v>
      </c>
      <c r="H33" s="19" t="n">
        <v>30657</v>
      </c>
      <c r="I33" s="19" t="n">
        <v>71533</v>
      </c>
    </row>
    <row r="34">
      <c r="A34" s="18" t="inlineStr">
        <is>
          <t>CIBC</t>
        </is>
      </c>
      <c r="B34" s="21" t="n">
        <v>0.202</v>
      </c>
      <c r="C34" s="21" t="n">
        <v>0.347091777887626</v>
      </c>
      <c r="D34" s="20" t="inlineStr">
        <is>
          <t>26-30%</t>
        </is>
      </c>
      <c r="E34" s="21" t="n">
        <v>0.27</v>
      </c>
      <c r="F34" s="20" t="inlineStr">
        <is>
          <t>Medium</t>
        </is>
      </c>
      <c r="G34" s="19" t="n">
        <v>48552</v>
      </c>
      <c r="H34" s="19" t="n">
        <v>13109</v>
      </c>
      <c r="I34" s="19" t="n">
        <v>35443</v>
      </c>
    </row>
    <row r="35">
      <c r="A35" s="18" t="inlineStr">
        <is>
          <t>BNS</t>
        </is>
      </c>
      <c r="B35" s="21" t="n">
        <v>0.183</v>
      </c>
      <c r="C35" s="21" t="n">
        <v>0.181945574541181</v>
      </c>
      <c r="D35" s="20" t="inlineStr">
        <is>
          <t>30-35%</t>
        </is>
      </c>
      <c r="E35" s="21" t="n">
        <v>0.32</v>
      </c>
      <c r="F35" s="20" t="inlineStr">
        <is>
          <t>Low-Medium</t>
        </is>
      </c>
      <c r="G35" s="19" t="n">
        <v>88488</v>
      </c>
      <c r="H35" s="19" t="n">
        <v>28316</v>
      </c>
      <c r="I35" s="19" t="n">
        <v>60172</v>
      </c>
    </row>
    <row r="36">
      <c r="A36" s="18" t="inlineStr">
        <is>
          <t>NA</t>
        </is>
      </c>
      <c r="B36" s="21" t="n">
        <v>0.161</v>
      </c>
      <c r="C36" s="21" t="n">
        <v>0.268344887071527</v>
      </c>
      <c r="D36" s="20" t="inlineStr">
        <is>
          <t>24-28%</t>
        </is>
      </c>
      <c r="E36" s="21" t="n">
        <v>0.25</v>
      </c>
      <c r="F36" s="20" t="inlineStr">
        <is>
          <t>Medium</t>
        </is>
      </c>
      <c r="G36" s="19" t="n">
        <v>31303</v>
      </c>
      <c r="H36" s="19" t="n">
        <v>7826</v>
      </c>
      <c r="I36" s="19" t="n">
        <v>23477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/>
  </sheetPr>
  <dimension ref="A1:G23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30" customWidth="1" min="1" max="1"/>
    <col width="16" customWidth="1" min="2" max="7"/>
  </cols>
  <sheetData>
    <row r="1" ht="18" customHeight="1">
      <c r="A1" s="1" t="inlineStr">
        <is>
          <t>Estimated TOCA vs LOB Headcount — Peer Benchmarking Summary (PUBLIC)</t>
        </is>
      </c>
    </row>
    <row r="2">
      <c r="A2" s="42" t="inlineStr">
        <is>
          <t>Prepared by MIA. Based entirely on publicly available financial disclosures. No internal BMO data was used.</t>
        </is>
      </c>
    </row>
    <row r="4">
      <c r="A4" s="4" t="inlineStr">
        <is>
          <t>Metric</t>
        </is>
      </c>
      <c r="B4" s="4" t="inlineStr">
        <is>
          <t>BMO</t>
        </is>
      </c>
      <c r="C4" s="4" t="inlineStr">
        <is>
          <t>RBC</t>
        </is>
      </c>
      <c r="D4" s="4" t="inlineStr">
        <is>
          <t>TD</t>
        </is>
      </c>
      <c r="E4" s="4" t="inlineStr">
        <is>
          <t>CIBC</t>
        </is>
      </c>
      <c r="F4" s="4" t="inlineStr">
        <is>
          <t>BNS</t>
        </is>
      </c>
      <c r="G4" s="4" t="inlineStr">
        <is>
          <t>NA</t>
        </is>
      </c>
    </row>
    <row r="5">
      <c r="A5" s="18" t="inlineStr">
        <is>
          <t>Fiscal Year</t>
        </is>
      </c>
      <c r="B5" s="8" t="inlineStr">
        <is>
          <t>FY2025</t>
        </is>
      </c>
      <c r="C5" s="20" t="inlineStr">
        <is>
          <t>FY2024</t>
        </is>
      </c>
      <c r="D5" s="20" t="inlineStr">
        <is>
          <t>FY2024</t>
        </is>
      </c>
      <c r="E5" s="20" t="inlineStr">
        <is>
          <t>FY2024</t>
        </is>
      </c>
      <c r="F5" s="20" t="inlineStr">
        <is>
          <t>FY2024</t>
        </is>
      </c>
      <c r="G5" s="20" t="inlineStr">
        <is>
          <t>FY2024</t>
        </is>
      </c>
    </row>
    <row r="6">
      <c r="A6" s="18" t="inlineStr">
        <is>
          <t>Total FTE</t>
        </is>
      </c>
      <c r="B6" s="6" t="n">
        <v>53234</v>
      </c>
      <c r="C6" s="19" t="n">
        <v>94838</v>
      </c>
      <c r="D6" s="19" t="n">
        <v>102190</v>
      </c>
      <c r="E6" s="19" t="n">
        <v>48552</v>
      </c>
      <c r="F6" s="19" t="n">
        <v>88488</v>
      </c>
      <c r="G6" s="19" t="n">
        <v>31303</v>
      </c>
    </row>
    <row r="7">
      <c r="A7" s="18" t="n"/>
      <c r="B7" s="20" t="n"/>
      <c r="C7" s="20" t="n"/>
      <c r="D7" s="20" t="n"/>
      <c r="E7" s="20" t="n"/>
      <c r="F7" s="20" t="n"/>
      <c r="G7" s="20" t="n"/>
    </row>
    <row r="8" ht="28" customHeight="1">
      <c r="A8" s="35" t="inlineStr">
        <is>
          <t>— ESTIMATED TOCA COMPOSITION —</t>
        </is>
      </c>
      <c r="B8" s="36" t="n"/>
      <c r="C8" s="36" t="n"/>
      <c r="D8" s="36" t="n"/>
      <c r="E8" s="36" t="n"/>
      <c r="F8" s="36" t="n"/>
      <c r="G8" s="36" t="n"/>
    </row>
    <row r="9">
      <c r="A9" s="18" t="inlineStr">
        <is>
          <t>Est. TOCA FTE</t>
        </is>
      </c>
      <c r="B9" s="6" t="n">
        <v>17567</v>
      </c>
      <c r="C9" s="19" t="n">
        <v>26555</v>
      </c>
      <c r="D9" s="19" t="n">
        <v>30657</v>
      </c>
      <c r="E9" s="19" t="n">
        <v>13109</v>
      </c>
      <c r="F9" s="19" t="n">
        <v>28316</v>
      </c>
      <c r="G9" s="19" t="n">
        <v>7826</v>
      </c>
    </row>
    <row r="10">
      <c r="A10" s="18" t="inlineStr">
        <is>
          <t>Est. LOB FTE</t>
        </is>
      </c>
      <c r="B10" s="6" t="n">
        <v>35667</v>
      </c>
      <c r="C10" s="19" t="n">
        <v>68283</v>
      </c>
      <c r="D10" s="19" t="n">
        <v>71533</v>
      </c>
      <c r="E10" s="19" t="n">
        <v>35443</v>
      </c>
      <c r="F10" s="19" t="n">
        <v>60172</v>
      </c>
      <c r="G10" s="19" t="n">
        <v>23477</v>
      </c>
    </row>
    <row r="11">
      <c r="A11" s="37" t="inlineStr">
        <is>
          <t>Est. TOCA % of Total</t>
        </is>
      </c>
      <c r="B11" s="38" t="n">
        <v>0.33</v>
      </c>
      <c r="C11" s="39" t="n">
        <v>0.28</v>
      </c>
      <c r="D11" s="39" t="n">
        <v>0.3</v>
      </c>
      <c r="E11" s="39" t="n">
        <v>0.27</v>
      </c>
      <c r="F11" s="39" t="n">
        <v>0.32</v>
      </c>
      <c r="G11" s="39" t="n">
        <v>0.25</v>
      </c>
    </row>
    <row r="12">
      <c r="A12" s="18" t="inlineStr">
        <is>
          <t>Estimation Confidence</t>
        </is>
      </c>
      <c r="B12" s="8" t="inlineStr">
        <is>
          <t>Med-High</t>
        </is>
      </c>
      <c r="C12" s="20" t="inlineStr">
        <is>
          <t>Medium</t>
        </is>
      </c>
      <c r="D12" s="20" t="inlineStr">
        <is>
          <t>Medium</t>
        </is>
      </c>
      <c r="E12" s="20" t="inlineStr">
        <is>
          <t>Medium</t>
        </is>
      </c>
      <c r="F12" s="20" t="inlineStr">
        <is>
          <t>Low-Med</t>
        </is>
      </c>
      <c r="G12" s="20" t="inlineStr">
        <is>
          <t>Medium</t>
        </is>
      </c>
    </row>
    <row r="13">
      <c r="A13" s="18" t="n"/>
      <c r="B13" s="20" t="n"/>
      <c r="C13" s="20" t="n"/>
      <c r="D13" s="20" t="n"/>
      <c r="E13" s="20" t="n"/>
      <c r="F13" s="20" t="n"/>
      <c r="G13" s="20" t="n"/>
    </row>
    <row r="14">
      <c r="A14" s="35" t="inlineStr">
        <is>
          <t>— FINANCIAL METRICS —</t>
        </is>
      </c>
      <c r="B14" s="36" t="n"/>
      <c r="C14" s="36" t="n"/>
      <c r="D14" s="36" t="n"/>
      <c r="E14" s="36" t="n"/>
      <c r="F14" s="36" t="n"/>
      <c r="G14" s="36" t="n"/>
    </row>
    <row r="15">
      <c r="A15" s="18" t="inlineStr">
        <is>
          <t>Total NIE ($M)</t>
        </is>
      </c>
      <c r="B15" s="6" t="n">
        <v>17107</v>
      </c>
      <c r="C15" s="19" t="n">
        <v>34250</v>
      </c>
      <c r="D15" s="19" t="n">
        <v>21919</v>
      </c>
      <c r="E15" s="19" t="n">
        <v>14439</v>
      </c>
      <c r="F15" s="19" t="n">
        <v>19695</v>
      </c>
      <c r="G15" s="19" t="n">
        <v>6054</v>
      </c>
    </row>
    <row r="16">
      <c r="A16" s="18" t="inlineStr">
        <is>
          <t>Corporate Seg. NIE ($M)</t>
        </is>
      </c>
      <c r="B16" s="6" t="n">
        <v>5570</v>
      </c>
      <c r="C16" s="19" t="n">
        <v>1167</v>
      </c>
      <c r="D16" s="20" t="n">
        <v>323</v>
      </c>
      <c r="E16" s="19" t="n">
        <v>1470</v>
      </c>
      <c r="F16" s="20" t="n">
        <v>637</v>
      </c>
      <c r="G16" s="20" t="n">
        <v>250</v>
      </c>
    </row>
    <row r="17">
      <c r="A17" s="37" t="inlineStr">
        <is>
          <t>Corp. Seg. NIE % of Total</t>
        </is>
      </c>
      <c r="B17" s="38" t="n">
        <v>0.326</v>
      </c>
      <c r="C17" s="39" t="n">
        <v>0.034</v>
      </c>
      <c r="D17" s="39" t="n">
        <v>0.015</v>
      </c>
      <c r="E17" s="39" t="n">
        <v>0.102</v>
      </c>
      <c r="F17" s="39" t="n">
        <v>0.032</v>
      </c>
      <c r="G17" s="39" t="n">
        <v>0.041</v>
      </c>
    </row>
    <row r="18">
      <c r="A18" s="18" t="inlineStr">
        <is>
          <t>Known Tech Spend ($M)</t>
        </is>
      </c>
      <c r="B18" s="8" t="inlineStr">
        <is>
          <t>~$3,500</t>
        </is>
      </c>
      <c r="C18" s="20" t="inlineStr">
        <is>
          <t>$5,000+</t>
        </is>
      </c>
      <c r="D18" s="20" t="inlineStr">
        <is>
          <t>~$4,000</t>
        </is>
      </c>
      <c r="E18" s="20" t="inlineStr">
        <is>
          <t>~$2,500</t>
        </is>
      </c>
      <c r="F18" s="20" t="inlineStr">
        <is>
          <t>$2,300</t>
        </is>
      </c>
      <c r="G18" s="20" t="inlineStr">
        <is>
          <t>~$1,200</t>
        </is>
      </c>
    </row>
    <row r="19">
      <c r="A19" s="18" t="inlineStr">
        <is>
          <t>Total Revenue ($B)</t>
        </is>
      </c>
      <c r="B19" s="8" t="n">
        <v>55.9</v>
      </c>
      <c r="C19" s="20" t="n">
        <v>98.7</v>
      </c>
      <c r="D19" s="20" t="n">
        <v>88.3</v>
      </c>
      <c r="E19" s="20" t="n">
        <v>26.6</v>
      </c>
      <c r="F19" s="20" t="n">
        <v>34.5</v>
      </c>
      <c r="G19" s="20" t="n">
        <v>20.9</v>
      </c>
    </row>
    <row r="20">
      <c r="A20" s="18" t="inlineStr">
        <is>
          <t>Revenue per Total FTE ($K)</t>
        </is>
      </c>
      <c r="B20" s="40">
        <f>IF(ISNUMBER(B19),B19*1000000/B6,"")</f>
        <v/>
      </c>
      <c r="C20" s="33">
        <f>IF(ISNUMBER(C19),C19*1000000/C6,"")</f>
        <v/>
      </c>
      <c r="D20" s="33">
        <f>IF(ISNUMBER(D19),D19*1000000/D6,"")</f>
        <v/>
      </c>
      <c r="E20" s="33">
        <f>IF(ISNUMBER(E19),E19*1000000/E6,"")</f>
        <v/>
      </c>
      <c r="F20" s="33">
        <f>IF(ISNUMBER(F19),F19*1000000/F6,"")</f>
        <v/>
      </c>
      <c r="G20" s="33">
        <f>IF(ISNUMBER(G19),G19*1000000/G6,"")</f>
        <v/>
      </c>
    </row>
    <row r="21">
      <c r="A21" s="18" t="inlineStr">
        <is>
          <t>Revenue per LOB FTE ($K)</t>
        </is>
      </c>
      <c r="B21" s="40">
        <f>IF(ISNUMBER(B19),B19*1000000/B10,"")</f>
        <v/>
      </c>
      <c r="C21" s="33">
        <f>IF(ISNUMBER(C19),C19*1000000/C10,"")</f>
        <v/>
      </c>
      <c r="D21" s="33">
        <f>IF(ISNUMBER(D19),D19*1000000/D10,"")</f>
        <v/>
      </c>
      <c r="E21" s="33">
        <f>IF(ISNUMBER(E19),E19*1000000/E10,"")</f>
        <v/>
      </c>
      <c r="F21" s="33">
        <f>IF(ISNUMBER(F19),F19*1000000/F10,"")</f>
        <v/>
      </c>
      <c r="G21" s="33">
        <f>IF(ISNUMBER(G19),G19*1000000/G10,"")</f>
        <v/>
      </c>
    </row>
    <row r="22">
      <c r="A22" s="18" t="inlineStr">
        <is>
          <t>Adjusted Efficiency Ratio</t>
        </is>
      </c>
      <c r="B22" s="8" t="inlineStr">
        <is>
          <t>56.3%</t>
        </is>
      </c>
      <c r="C22" s="20" t="inlineStr">
        <is>
          <t>~56.0%</t>
        </is>
      </c>
      <c r="D22" s="20" t="inlineStr">
        <is>
          <t>58.1%</t>
        </is>
      </c>
      <c r="E22" s="20" t="inlineStr">
        <is>
          <t>55.8%</t>
        </is>
      </c>
      <c r="F22" s="20" t="inlineStr">
        <is>
          <t>56.1%</t>
        </is>
      </c>
      <c r="G22" s="20" t="inlineStr">
        <is>
          <t>53.1%</t>
        </is>
      </c>
    </row>
    <row r="23">
      <c r="A23" s="18" t="inlineStr">
        <is>
          <t>Adjusted ROE</t>
        </is>
      </c>
      <c r="B23" s="8" t="inlineStr">
        <is>
          <t>11.3%</t>
        </is>
      </c>
      <c r="C23" s="20" t="inlineStr">
        <is>
          <t>14.4%</t>
        </is>
      </c>
      <c r="D23" s="20" t="inlineStr">
        <is>
          <t>13.6%</t>
        </is>
      </c>
      <c r="E23" s="20" t="inlineStr">
        <is>
          <t>13.7%</t>
        </is>
      </c>
      <c r="F23" s="20" t="inlineStr">
        <is>
          <t>11.3%</t>
        </is>
      </c>
      <c r="G23" s="20" t="inlineStr">
        <is>
          <t>~15.4%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843C0C"/>
    <outlinePr summaryBelow="1" summaryRight="1"/>
    <pageSetUpPr/>
  </sheetPr>
  <dimension ref="A1:A87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120" customWidth="1" min="1" max="1"/>
  </cols>
  <sheetData>
    <row r="1" ht="18" customHeight="1">
      <c r="A1" s="43" t="inlineStr">
        <is>
          <t>Analysis Notes &amp; Methodology — Prepared by MIA | Classification: PUBLIC</t>
        </is>
      </c>
    </row>
    <row r="3" ht="16" customHeight="1">
      <c r="A3" s="17" t="inlineStr">
        <is>
          <t>ESTIMATION METHODOLOGY</t>
        </is>
      </c>
    </row>
    <row r="4">
      <c r="A4" s="41" t="n"/>
    </row>
    <row r="5">
      <c r="A5" s="41" t="inlineStr">
        <is>
          <t>Three methods were triangulated to estimate TOCA headcount for each bank:</t>
        </is>
      </c>
    </row>
    <row r="6">
      <c r="A6" s="41" t="n"/>
    </row>
    <row r="7">
      <c r="A7" s="41" t="inlineStr">
        <is>
          <t>Method 1 — Corporate Segment NIE Proxy (Primary)</t>
        </is>
      </c>
    </row>
    <row r="8">
      <c r="A8" s="41" t="inlineStr">
        <is>
          <t>Each bank reports a 'Corporate' or 'Other' segment in their financial statements that captures expenses not allocated to</t>
        </is>
      </c>
    </row>
    <row r="9">
      <c r="A9" s="41" t="inlineStr">
        <is>
          <t>revenue-generating lines of business. However, banks differ dramatically in how much they allocate T&amp;O costs to LOBs:</t>
        </is>
      </c>
    </row>
    <row r="10">
      <c r="A10" s="41" t="inlineStr">
        <is>
          <t>• BMO retains most T&amp;O costs in Corporate Services → raw Corporate NIE % = 32.6% (close to true TOCA %)</t>
        </is>
      </c>
    </row>
    <row r="11">
      <c r="A11" s="41" t="inlineStr">
        <is>
          <t>• TD fully allocates shared services to LOBs → raw Corporate NIE % = 1.5% (massively understates true TOCA %)</t>
        </is>
      </c>
    </row>
    <row r="12">
      <c r="A12" s="41" t="inlineStr">
        <is>
          <t>• RBC, BNS also heavily allocate → raw 3-4% (significantly understates true TOCA %)</t>
        </is>
      </c>
    </row>
    <row r="13">
      <c r="A13" s="41" t="inlineStr">
        <is>
          <t>• CIBC partial allocation → raw 10.2% (moderately understates true TOCA %)</t>
        </is>
      </c>
    </row>
    <row r="14">
      <c r="A14" s="41" t="inlineStr">
        <is>
          <t>To normalize, we estimated how much T&amp;O expense is 'hidden' inside LOB segment NIE using technology spending disclosures.</t>
        </is>
      </c>
    </row>
    <row r="15">
      <c r="A15" s="41" t="n"/>
    </row>
    <row r="16">
      <c r="A16" s="41" t="inlineStr">
        <is>
          <t>Method 2 — Technology Spending Anchor</t>
        </is>
      </c>
    </row>
    <row r="17">
      <c r="A17" s="41" t="inlineStr">
        <is>
          <t>Where banks disclose technology spending ($B), we estimate technology headcount using:</t>
        </is>
      </c>
    </row>
    <row r="18">
      <c r="A18" s="41" t="inlineStr">
        <is>
          <t xml:space="preserve">  Tech Headcount = (Tech Spend × 65% labor share) ÷ Average T&amp;O compensation ($130-145K CAD)</t>
        </is>
      </c>
    </row>
    <row r="19">
      <c r="A19" s="41" t="inlineStr">
        <is>
          <t xml:space="preserve">  Total TOCA = Tech Headcount × 1.4 (adding operations and corporate overhead staff)</t>
        </is>
      </c>
    </row>
    <row r="20">
      <c r="A20" s="41" t="inlineStr">
        <is>
          <t>The 65% labor share comes from BMO's Apptio disclosure. The 1.4x multiplier reflects that T&amp;O is ~70% of TOCA.</t>
        </is>
      </c>
    </row>
    <row r="21">
      <c r="A21" s="41" t="n"/>
    </row>
    <row r="22">
      <c r="A22" s="41" t="inlineStr">
        <is>
          <t>Method 3 — Industry Benchmark Triangulation</t>
        </is>
      </c>
    </row>
    <row r="23">
      <c r="A23" s="41" t="inlineStr">
        <is>
          <t>Global banking benchmarks (McKinsey, Accenture, Oliver Wyman) indicate large universal banks have 28-38% of workforce</t>
        </is>
      </c>
    </row>
    <row r="24">
      <c r="A24" s="41" t="inlineStr">
        <is>
          <t>in support/infrastructure roles. We positioned each bank within this range based on:</t>
        </is>
      </c>
    </row>
    <row r="25">
      <c r="A25" s="41" t="inlineStr">
        <is>
          <t>• Operational complexity (U.S. operations, international presence)</t>
        </is>
      </c>
    </row>
    <row r="26">
      <c r="A26" s="41" t="inlineStr">
        <is>
          <t>• Recent M&amp;A activity (integration teams inflate TOCA temporarily)</t>
        </is>
      </c>
    </row>
    <row r="27">
      <c r="A27" s="41" t="inlineStr">
        <is>
          <t>• Known technology investment levels</t>
        </is>
      </c>
    </row>
    <row r="28">
      <c r="A28" s="41" t="inlineStr">
        <is>
          <t>• Efficiency ratio performance</t>
        </is>
      </c>
    </row>
    <row r="29">
      <c r="A29" s="41" t="n"/>
    </row>
    <row r="30">
      <c r="A30" s="41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1">
      <c r="A31" s="41" t="n"/>
    </row>
    <row r="32" ht="16" customHeight="1">
      <c r="A32" s="17" t="inlineStr">
        <is>
          <t>KEY FINDINGS</t>
        </is>
      </c>
    </row>
    <row r="33">
      <c r="A33" s="41" t="n"/>
    </row>
    <row r="34">
      <c r="A34" s="41" t="inlineStr">
        <is>
          <t>1. BMO's Estimated TOCA % (~33%) is the HIGHEST among Canadian peers</t>
        </is>
      </c>
    </row>
    <row r="35">
      <c r="A35" s="41" t="inlineStr">
        <is>
          <t xml:space="preserve">   • 5 percentage points above RBC (28%), 6 points above CIBC (27%), 8 points above NA (25%)</t>
        </is>
      </c>
    </row>
    <row r="36">
      <c r="A36" s="41" t="inlineStr">
        <is>
          <t xml:space="preserve">   • At 33%, BMO has ~17,600 estimated TOCA FTE vs ~35,700 LOB FTE</t>
        </is>
      </c>
    </row>
    <row r="37">
      <c r="A37" s="41" t="inlineStr">
        <is>
          <t xml:space="preserve">   • This means for every 2 revenue-producers, BMO has ~1 support person (2.0:1 ratio)</t>
        </is>
      </c>
    </row>
    <row r="38">
      <c r="A38" s="41" t="inlineStr">
        <is>
          <t xml:space="preserve">   • RBC's ratio is ~2.6:1, CIBC's is ~2.7:1, NA's is ~3.0:1</t>
        </is>
      </c>
    </row>
    <row r="39">
      <c r="A39" s="41" t="n"/>
    </row>
    <row r="40">
      <c r="A40" s="41" t="inlineStr">
        <is>
          <t>2. BMO's TOCA burden explains PART of the ROE gap, but not all of it</t>
        </is>
      </c>
    </row>
    <row r="41">
      <c r="A41" s="41" t="inlineStr">
        <is>
          <t xml:space="preserve">   • If BMO reduced TOCA % from 33% to 28% (RBC level), that would free up ~2,660 FTE</t>
        </is>
      </c>
    </row>
    <row r="42">
      <c r="A42" s="41" t="inlineStr">
        <is>
          <t xml:space="preserve">   • At ~$140K avg comp, that's ~$370M in annual savings (pre-tax)</t>
        </is>
      </c>
    </row>
    <row r="43">
      <c r="A43" s="41" t="inlineStr">
        <is>
          <t xml:space="preserve">   • On ~$87B of equity, $370M = ~0.4% ROE improvement</t>
        </is>
      </c>
    </row>
    <row r="44">
      <c r="A44" s="41" t="inlineStr">
        <is>
          <t xml:space="preserve">   • The 300-550 bps ROE gap to peers requires more than just TOCA optimization</t>
        </is>
      </c>
    </row>
    <row r="45">
      <c r="A45" s="41" t="n"/>
    </row>
    <row r="46">
      <c r="A46" s="41" t="inlineStr">
        <is>
          <t>3. Bank of the West integration likely inflates BMO's current TOCA ratio</t>
        </is>
      </c>
    </row>
    <row r="47">
      <c r="A47" s="41" t="inlineStr">
        <is>
          <t xml:space="preserve">   • Integration completed Sept 2023, but operational harmonization continues</t>
        </is>
      </c>
    </row>
    <row r="48">
      <c r="A48" s="41" t="inlineStr">
        <is>
          <t xml:space="preserve">   • Corporate Services NIE grew 15.1% YoY in FY2025 ($731M increase) — fastest-growing segment</t>
        </is>
      </c>
    </row>
    <row r="49">
      <c r="A49" s="41" t="inlineStr">
        <is>
          <t xml:space="preserve">   • Pre-acquisition (FY2022), BMO's TOCA ratio was likely closer to 28-30%</t>
        </is>
      </c>
    </row>
    <row r="50">
      <c r="A50" s="41" t="inlineStr">
        <is>
          <t xml:space="preserve">   • Q4 FY2025 included $202M severance for ~700 headcount reductions, suggesting ongoing optimization</t>
        </is>
      </c>
    </row>
    <row r="51">
      <c r="A51" s="41" t="n"/>
    </row>
    <row r="52">
      <c r="A52" s="41" t="inlineStr">
        <is>
          <t>4. The allocation methodology difference is the BIGGEST comparability issue</t>
        </is>
      </c>
    </row>
    <row r="53">
      <c r="A53" s="41" t="inlineStr">
        <is>
          <t xml:space="preserve">   • BMO's 32.6% Corporate Services NIE vs TD's 1.5% Corporate NIE does NOT mean BMO has 20x more support staff</t>
        </is>
      </c>
    </row>
    <row r="54">
      <c r="A54" s="41" t="inlineStr">
        <is>
          <t xml:space="preserve">   • It means BMO centralizes T&amp;O costs while TD distributes them to LOBs</t>
        </is>
      </c>
    </row>
    <row r="55">
      <c r="A55" s="41" t="inlineStr">
        <is>
          <t xml:space="preserve">   • The normalized estimates (Sheet 3) attempt to correct for this, but significant uncertainty remains</t>
        </is>
      </c>
    </row>
    <row r="56">
      <c r="A56" s="41" t="inlineStr">
        <is>
          <t xml:space="preserve">   • Only internal data from BMO's cost allocation model can resolve this definitively</t>
        </is>
      </c>
    </row>
    <row r="57">
      <c r="A57" s="41" t="n"/>
    </row>
    <row r="58">
      <c r="A58" s="41" t="inlineStr">
        <is>
          <t>5. Technology spending is the most reliable normalizing factor</t>
        </is>
      </c>
    </row>
    <row r="59">
      <c r="A59" s="41" t="inlineStr">
        <is>
          <t xml:space="preserve">   • Tech spend is disclosed more consistently across banks ($2-5B range)</t>
        </is>
      </c>
    </row>
    <row r="60">
      <c r="A60" s="41" t="inlineStr">
        <is>
          <t xml:space="preserve">   • It represents the largest component of TOCA costs (~50-60%)</t>
        </is>
      </c>
    </row>
    <row r="61">
      <c r="A61" s="41" t="inlineStr">
        <is>
          <t xml:space="preserve">   • BMO's ~$3.5B tech spend on $17.1B total NIE = ~20.5% tech intensity, vs RBC's $5B/$34.3B = ~14.6%</t>
        </is>
      </c>
    </row>
    <row r="62">
      <c r="A62" s="41" t="inlineStr">
        <is>
          <t xml:space="preserve">   • This suggests BMO IS more tech-cost-heavy relative to its size, supporting the higher TOCA hypothesis</t>
        </is>
      </c>
    </row>
    <row r="63">
      <c r="A63" s="41" t="n"/>
    </row>
    <row r="64">
      <c r="A64" s="41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65">
      <c r="A65" s="41" t="n"/>
    </row>
    <row r="66" ht="16" customHeight="1">
      <c r="A66" s="17" t="inlineStr">
        <is>
          <t>RECOMMENDED NEXT STEPS</t>
        </is>
      </c>
    </row>
    <row r="67">
      <c r="A67" s="41" t="n"/>
    </row>
    <row r="68">
      <c r="A68" s="41" t="inlineStr">
        <is>
          <t>1. Obtain BMO's internal TOCA headcount data from Finance/HR Analytics to validate the 33% estimate</t>
        </is>
      </c>
    </row>
    <row r="69">
      <c r="A69" s="41" t="inlineStr">
        <is>
          <t>2. Request BMO's T&amp;O cost allocation model to understand what gets charged to LOBs vs retained in Corporate Services</t>
        </is>
      </c>
    </row>
    <row r="70">
      <c r="A70" s="41" t="inlineStr">
        <is>
          <t>3. Compare BMO's pre-acquisition (FY2022) TOCA % to current to isolate integration impact</t>
        </is>
      </c>
    </row>
    <row r="71">
      <c r="A71" s="41" t="inlineStr">
        <is>
          <t>4. Benchmark against U.S. banks (JPMorgan, BofA) which have more detailed 10-K disclosures</t>
        </is>
      </c>
    </row>
    <row r="72">
      <c r="A72" s="41" t="inlineStr">
        <is>
          <t>5. Engage external consultants (McKinsey, Accenture) who maintain proprietary RP:NRP databases</t>
        </is>
      </c>
    </row>
    <row r="73">
      <c r="A73" s="41" t="inlineStr">
        <is>
          <t>6. Request peer TOCA data through OSFI (some workforce composition data is in regulatory filings)</t>
        </is>
      </c>
    </row>
    <row r="74">
      <c r="A74" s="41" t="inlineStr">
        <is>
          <t>7. Analyze BMO's Corporate Services NIE trend over FY2022-FY2025 to track integration-driven inflation</t>
        </is>
      </c>
    </row>
    <row r="75">
      <c r="A75" s="41" t="n"/>
    </row>
    <row r="76">
      <c r="A76" s="41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77">
      <c r="A77" s="41" t="n"/>
    </row>
    <row r="78" ht="16" customHeight="1">
      <c r="A78" s="17" t="inlineStr">
        <is>
          <t>DATA SOURCES</t>
        </is>
      </c>
    </row>
    <row r="79">
      <c r="A79" s="41" t="n"/>
    </row>
    <row r="80">
      <c r="A80" s="41" t="inlineStr">
        <is>
          <t>BMO:  2025 Annual Report MD&amp;A (bmo.com/ir), Q4 FY2025 Supplementary Financial Info, Q4 Earnings Release</t>
        </is>
      </c>
    </row>
    <row r="81">
      <c r="A81" s="41" t="inlineStr">
        <is>
          <t>RBC:  Q4 2024 Supplementary Financial Info (rbc.com/investor-relations), Annual Report 2024</t>
        </is>
      </c>
    </row>
    <row r="82">
      <c r="A82" s="41" t="inlineStr">
        <is>
          <t>TD:   Q4 2024 Earnings Release (td.com/investor-relations), Annual Report 2024</t>
        </is>
      </c>
    </row>
    <row r="83">
      <c r="A83" s="41" t="inlineStr">
        <is>
          <t>CIBC: Q4 2024 Supplementary Financial Info (cibc.com/investor-relations), Annual Report 2024</t>
        </is>
      </c>
    </row>
    <row r="84">
      <c r="A84" s="41" t="inlineStr">
        <is>
          <t>BNS:  Q4 2024 Supplementary Financial Info (scotiabank.com/investors), Annual Report 2024</t>
        </is>
      </c>
    </row>
    <row r="85">
      <c r="A85" s="41" t="inlineStr">
        <is>
          <t>NA:   Q4 2024 Earnings Release (nbc.ca/investors), Annual Report 2024</t>
        </is>
      </c>
    </row>
    <row r="86">
      <c r="A86" s="41" t="inlineStr">
        <is>
          <t>Tech: BMO Apptio case study; RBC Annual Report; BNS Q4 2024 earnings; industry estimates for TD, CIBC, NA</t>
        </is>
      </c>
    </row>
    <row r="87">
      <c r="A87" s="41" t="inlineStr">
        <is>
          <t>Benchmarks: McKinsey Banking Operations Reports, Accenture Banking Technology Vision, Oliver Wyman Banking Efficiency Studies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375623"/>
    <outlinePr summaryBelow="1" summaryRight="1"/>
    <pageSetUpPr/>
  </sheetPr>
  <dimension ref="A1:E25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10" customWidth="1" min="1" max="1"/>
    <col width="32" customWidth="1" min="2" max="2"/>
    <col width="14" customWidth="1" min="3" max="3"/>
    <col width="38" customWidth="1" min="4" max="4"/>
    <col width="90" customWidth="1" min="5" max="5"/>
  </cols>
  <sheetData>
    <row r="1">
      <c r="A1" s="17" t="inlineStr">
        <is>
          <t>Data Source Tracking — Prepared by MIA | All sources are publicly available | Classification: PUBLIC</t>
        </is>
      </c>
    </row>
    <row r="3">
      <c r="A3" s="4" t="inlineStr">
        <is>
          <t>Bank</t>
        </is>
      </c>
      <c r="B3" s="4" t="inlineStr">
        <is>
          <t>Data Point</t>
        </is>
      </c>
      <c r="C3" s="4" t="inlineStr">
        <is>
          <t>Value</t>
        </is>
      </c>
      <c r="D3" s="4" t="inlineStr">
        <is>
          <t>Source Document</t>
        </is>
      </c>
      <c r="E3" s="4" t="inlineStr">
        <is>
          <t>URL</t>
        </is>
      </c>
    </row>
    <row r="4">
      <c r="A4" s="5" t="inlineStr">
        <is>
          <t>BMO</t>
        </is>
      </c>
      <c r="B4" s="8" t="inlineStr">
        <is>
          <t>Corporate Services NIE FY2025</t>
        </is>
      </c>
      <c r="C4" s="8" t="inlineStr">
        <is>
          <t>$5,570M</t>
        </is>
      </c>
      <c r="D4" s="8" t="inlineStr">
        <is>
          <t>BMO 2025 Annual Report MD&amp;A</t>
        </is>
      </c>
      <c r="E4" s="8" t="inlineStr">
        <is>
          <t>https://www.bmo.com/ir/archive/en/bmo_ar2025_MDA.pdf</t>
        </is>
      </c>
    </row>
    <row r="5">
      <c r="A5" s="5" t="inlineStr">
        <is>
          <t>BMO</t>
        </is>
      </c>
      <c r="B5" s="8" t="inlineStr">
        <is>
          <t>Total NIE FY2025</t>
        </is>
      </c>
      <c r="C5" s="8" t="inlineStr">
        <is>
          <t>$17,107M</t>
        </is>
      </c>
      <c r="D5" s="8" t="inlineStr">
        <is>
          <t>BMO 2025 Annual Report MD&amp;A</t>
        </is>
      </c>
      <c r="E5" s="8" t="inlineStr">
        <is>
          <t>https://www.bmo.com/ir/archive/en/bmo_ar2025_MDA.pdf</t>
        </is>
      </c>
    </row>
    <row r="6">
      <c r="A6" s="5" t="inlineStr">
        <is>
          <t>BMO</t>
        </is>
      </c>
      <c r="B6" s="8" t="inlineStr">
        <is>
          <t>Corporate Services NIE FY2024</t>
        </is>
      </c>
      <c r="C6" s="8" t="inlineStr">
        <is>
          <t>$4,839M</t>
        </is>
      </c>
      <c r="D6" s="8" t="inlineStr">
        <is>
          <t>BMO 2025 Annual Report MD&amp;A</t>
        </is>
      </c>
      <c r="E6" s="8" t="inlineStr">
        <is>
          <t>https://www.bmo.com/ir/archive/en/bmo_ar2025_MDA.pdf</t>
        </is>
      </c>
    </row>
    <row r="7">
      <c r="A7" s="5" t="inlineStr">
        <is>
          <t>BMO</t>
        </is>
      </c>
      <c r="B7" s="8" t="inlineStr">
        <is>
          <t>Total FTE FY2025</t>
        </is>
      </c>
      <c r="C7" s="8" t="inlineStr">
        <is>
          <t>53,234</t>
        </is>
      </c>
      <c r="D7" s="8" t="inlineStr">
        <is>
          <t>BMO Q4 FY2025 Earnings Release</t>
        </is>
      </c>
      <c r="E7" s="8" t="inlineStr">
        <is>
          <t>https://newsroom.bmo.com/2025-12-04-BMO-Financial-Group-Reports-Fourth-Quarter-and-Fiscal-2025-Results</t>
        </is>
      </c>
    </row>
    <row r="8">
      <c r="A8" s="5" t="inlineStr">
        <is>
          <t>BMO</t>
        </is>
      </c>
      <c r="B8" s="8" t="inlineStr">
        <is>
          <t>Tech labor = 65% of IT spend</t>
        </is>
      </c>
      <c r="C8" s="8" t="inlineStr">
        <is>
          <t>Qualitative</t>
        </is>
      </c>
      <c r="D8" s="8" t="inlineStr">
        <is>
          <t>BMO/Apptio Case Study</t>
        </is>
      </c>
      <c r="E8" s="8" t="inlineStr">
        <is>
          <t>https://www.apptio.com/case-study/bmo-leverages-cost-transparency-to-better-serve-customers-and-reduce-costs/</t>
        </is>
      </c>
    </row>
    <row r="9">
      <c r="A9" s="18" t="inlineStr">
        <is>
          <t>RBC</t>
        </is>
      </c>
      <c r="B9" s="20" t="inlineStr">
        <is>
          <t>Corporate Support NIE FY2024</t>
        </is>
      </c>
      <c r="C9" s="20" t="inlineStr">
        <is>
          <t>$1,167M</t>
        </is>
      </c>
      <c r="D9" s="20" t="inlineStr">
        <is>
          <t>RBC Q4 2024 Supp. Financial Info</t>
        </is>
      </c>
      <c r="E9" s="20" t="inlineStr">
        <is>
          <t>https://www.rbc.com/investor-relations/_assets-custom/pdf/24q4supp.pdf</t>
        </is>
      </c>
    </row>
    <row r="10">
      <c r="A10" s="18" t="inlineStr">
        <is>
          <t>RBC</t>
        </is>
      </c>
      <c r="B10" s="20" t="inlineStr">
        <is>
          <t>Total NIE FY2024</t>
        </is>
      </c>
      <c r="C10" s="20" t="inlineStr">
        <is>
          <t>$34,250M</t>
        </is>
      </c>
      <c r="D10" s="20" t="inlineStr">
        <is>
          <t>RBC Q4 2024 Supp. Financial Info</t>
        </is>
      </c>
      <c r="E10" s="20" t="inlineStr">
        <is>
          <t>https://www.rbc.com/investor-relations/_assets-custom/pdf/24q4supp.pdf</t>
        </is>
      </c>
    </row>
    <row r="11">
      <c r="A11" s="18" t="inlineStr">
        <is>
          <t>RBC</t>
        </is>
      </c>
      <c r="B11" s="20" t="inlineStr">
        <is>
          <t>Tech Spend</t>
        </is>
      </c>
      <c r="C11" s="20" t="inlineStr">
        <is>
          <t>$5,000M+</t>
        </is>
      </c>
      <c r="D11" s="20" t="inlineStr">
        <is>
          <t>RBC Annual Report 2024</t>
        </is>
      </c>
      <c r="E11" s="20" t="inlineStr">
        <is>
          <t>https://www.rbc.com/investor-relations/_assets-custom/pdf/ar_2024_e.pdf</t>
        </is>
      </c>
    </row>
    <row r="12">
      <c r="A12" s="18" t="inlineStr">
        <is>
          <t>RBC</t>
        </is>
      </c>
      <c r="B12" s="20" t="inlineStr">
        <is>
          <t>Total FTE FY2024</t>
        </is>
      </c>
      <c r="C12" s="20" t="inlineStr">
        <is>
          <t>94,838</t>
        </is>
      </c>
      <c r="D12" s="20" t="inlineStr">
        <is>
          <t>MacroTrends / RBC Annual Report</t>
        </is>
      </c>
      <c r="E12" s="20" t="inlineStr">
        <is>
          <t>https://www.macrotrends.net/stocks/charts/RY/royal-bank-of-canada/number-of-employees</t>
        </is>
      </c>
    </row>
    <row r="13">
      <c r="A13" s="18" t="inlineStr">
        <is>
          <t>TD</t>
        </is>
      </c>
      <c r="B13" s="20" t="inlineStr">
        <is>
          <t>Corporate NIE FY2024</t>
        </is>
      </c>
      <c r="C13" s="20" t="inlineStr">
        <is>
          <t>$323M</t>
        </is>
      </c>
      <c r="D13" s="20" t="inlineStr">
        <is>
          <t>TD Q4 2024 Earnings Release</t>
        </is>
      </c>
      <c r="E13" s="20" t="inlineStr">
        <is>
          <t>https://www.td.com/content/dam/tdcom/canada/about-td/pdf/quarterly-results/2024/q4/2024-q4-earnings-newsrelease-en.pdf</t>
        </is>
      </c>
    </row>
    <row r="14">
      <c r="A14" s="18" t="inlineStr">
        <is>
          <t>TD</t>
        </is>
      </c>
      <c r="B14" s="20" t="inlineStr">
        <is>
          <t>Total NIE FY2024</t>
        </is>
      </c>
      <c r="C14" s="20" t="inlineStr">
        <is>
          <t>$21,919M</t>
        </is>
      </c>
      <c r="D14" s="20" t="inlineStr">
        <is>
          <t>TD Q4 2024 Earnings Release</t>
        </is>
      </c>
      <c r="E14" s="20" t="inlineStr">
        <is>
          <t>https://www.td.com/content/dam/tdcom/canada/about-td/pdf/quarterly-results/2024/q4/2024-q4-earnings-newsrelease-en.pdf</t>
        </is>
      </c>
    </row>
    <row r="15">
      <c r="A15" s="18" t="inlineStr">
        <is>
          <t>TD</t>
        </is>
      </c>
      <c r="B15" s="20" t="inlineStr">
        <is>
          <t>Total FTE FY2024</t>
        </is>
      </c>
      <c r="C15" s="20" t="inlineStr">
        <is>
          <t>102,190</t>
        </is>
      </c>
      <c r="D15" s="20" t="inlineStr">
        <is>
          <t>MacroTrends / TD Annual Report</t>
        </is>
      </c>
      <c r="E15" s="20" t="inlineStr">
        <is>
          <t>https://www.macrotrends.net/stocks/charts/TD/toronto-dominion-bank/number-of-employees</t>
        </is>
      </c>
    </row>
    <row r="16">
      <c r="A16" s="18" t="inlineStr">
        <is>
          <t>CIBC</t>
        </is>
      </c>
      <c r="B16" s="20" t="inlineStr">
        <is>
          <t>Corporate &amp; Other NIE FY2024</t>
        </is>
      </c>
      <c r="C16" s="20" t="inlineStr">
        <is>
          <t>$1,470M</t>
        </is>
      </c>
      <c r="D16" s="20" t="inlineStr">
        <is>
          <t>CIBC Q4 2024 Supp. Financial Info</t>
        </is>
      </c>
      <c r="E16" s="20" t="inlineStr">
        <is>
          <t>https://www.cibc.com/content/dam/cibc-public-assets/about-cibc/investor-relations/pdfs/quarterly-results/2024/q424financials-en.pdf</t>
        </is>
      </c>
    </row>
    <row r="17">
      <c r="A17" s="18" t="inlineStr">
        <is>
          <t>CIBC</t>
        </is>
      </c>
      <c r="B17" s="20" t="inlineStr">
        <is>
          <t>Total NIE FY2024</t>
        </is>
      </c>
      <c r="C17" s="20" t="inlineStr">
        <is>
          <t>$14,439M</t>
        </is>
      </c>
      <c r="D17" s="20" t="inlineStr">
        <is>
          <t>CIBC Q4 2024 Supp. Financial Info</t>
        </is>
      </c>
      <c r="E17" s="20" t="inlineStr">
        <is>
          <t>https://www.cibc.com/content/dam/cibc-public-assets/about-cibc/investor-relations/pdfs/quarterly-results/2024/q424financials-en.pdf</t>
        </is>
      </c>
    </row>
    <row r="18">
      <c r="A18" s="18" t="inlineStr">
        <is>
          <t>CIBC</t>
        </is>
      </c>
      <c r="B18" s="20" t="inlineStr">
        <is>
          <t>Total FTE FY2024</t>
        </is>
      </c>
      <c r="C18" s="20" t="inlineStr">
        <is>
          <t>48,552</t>
        </is>
      </c>
      <c r="D18" s="20" t="inlineStr">
        <is>
          <t>MacroTrends / CIBC Annual Report</t>
        </is>
      </c>
      <c r="E18" s="20" t="inlineStr">
        <is>
          <t>https://www.macrotrends.net/stocks/charts/CM/canadian-imperial-bank-of-commerce/number-of-employees</t>
        </is>
      </c>
    </row>
    <row r="19">
      <c r="A19" s="18" t="inlineStr">
        <is>
          <t>BNS</t>
        </is>
      </c>
      <c r="B19" s="20" t="inlineStr">
        <is>
          <t>Other Seg. NIE FY2024</t>
        </is>
      </c>
      <c r="C19" s="20" t="inlineStr">
        <is>
          <t>$637M</t>
        </is>
      </c>
      <c r="D19" s="20" t="inlineStr">
        <is>
          <t>BNS Q4 2024 Supp. Financial Info</t>
        </is>
      </c>
      <c r="E19" s="20" t="inlineStr">
        <is>
          <t>https://www.scotiabank.com/content/dam/scotiabank/corporate/quarterly-reports/2024/q4/Q424_Supplementary_Financial_Information-EN.pdf</t>
        </is>
      </c>
    </row>
    <row r="20">
      <c r="A20" s="18" t="inlineStr">
        <is>
          <t>BNS</t>
        </is>
      </c>
      <c r="B20" s="20" t="inlineStr">
        <is>
          <t>Total NIE FY2024</t>
        </is>
      </c>
      <c r="C20" s="20" t="inlineStr">
        <is>
          <t>$19,695M</t>
        </is>
      </c>
      <c r="D20" s="20" t="inlineStr">
        <is>
          <t>BNS Q4 2024 Supp. Financial Info</t>
        </is>
      </c>
      <c r="E20" s="20" t="inlineStr">
        <is>
          <t>https://www.scotiabank.com/content/dam/scotiabank/corporate/quarterly-reports/2024/q4/Q424_Supplementary_Financial_Information-EN.pdf</t>
        </is>
      </c>
    </row>
    <row r="21">
      <c r="A21" s="18" t="inlineStr">
        <is>
          <t>BNS</t>
        </is>
      </c>
      <c r="B21" s="20" t="inlineStr">
        <is>
          <t>Tech Spend FY2024</t>
        </is>
      </c>
      <c r="C21" s="20" t="inlineStr">
        <is>
          <t>$2,300M</t>
        </is>
      </c>
      <c r="D21" s="20" t="inlineStr">
        <is>
          <t>BNS Q4 2024 Earnings / Sustainability</t>
        </is>
      </c>
      <c r="E21" s="20" t="inlineStr">
        <is>
          <t>https://www.scotiabank.com/content/dam/scotiabank/corporate/quarterly-reports/2024/q4/Annual_Report_2024_EN.pdf</t>
        </is>
      </c>
    </row>
    <row r="22">
      <c r="A22" s="18" t="inlineStr">
        <is>
          <t>BNS</t>
        </is>
      </c>
      <c r="B22" s="20" t="inlineStr">
        <is>
          <t>Total FTE FY2024</t>
        </is>
      </c>
      <c r="C22" s="20" t="inlineStr">
        <is>
          <t>88,488</t>
        </is>
      </c>
      <c r="D22" s="20" t="inlineStr">
        <is>
          <t>MacroTrends / BNS Annual Report</t>
        </is>
      </c>
      <c r="E22" s="20" t="inlineStr">
        <is>
          <t>https://www.macrotrends.net/stocks/charts/BNS/bank-of-nova-scotia/number-of-employees</t>
        </is>
      </c>
    </row>
    <row r="23">
      <c r="A23" s="18" t="inlineStr">
        <is>
          <t>NA</t>
        </is>
      </c>
      <c r="B23" s="20" t="inlineStr">
        <is>
          <t>Other Seg. NIE FY2024</t>
        </is>
      </c>
      <c r="C23" s="20" t="inlineStr">
        <is>
          <t>$250M</t>
        </is>
      </c>
      <c r="D23" s="20" t="inlineStr">
        <is>
          <t>NA Q4 2024 Earnings Release</t>
        </is>
      </c>
      <c r="E23" s="20" t="inlineStr">
        <is>
          <t>https://www.nbc.ca/content/dam/bnc/a-propos-de-nous/relations-investisseurs/resultats-trimestriels/2024/comm-q4-2024.pdf</t>
        </is>
      </c>
    </row>
    <row r="24">
      <c r="A24" s="18" t="inlineStr">
        <is>
          <t>NA</t>
        </is>
      </c>
      <c r="B24" s="20" t="inlineStr">
        <is>
          <t>Total NIE FY2024</t>
        </is>
      </c>
      <c r="C24" s="20" t="inlineStr">
        <is>
          <t>$6,054M</t>
        </is>
      </c>
      <c r="D24" s="20" t="inlineStr">
        <is>
          <t>NA Q4 2024 Earnings Release</t>
        </is>
      </c>
      <c r="E24" s="20" t="inlineStr">
        <is>
          <t>https://www.nbc.ca/content/dam/bnc/a-propos-de-nous/relations-investisseurs/resultats-trimestriels/2024/comm-q4-2024.pdf</t>
        </is>
      </c>
    </row>
    <row r="25">
      <c r="A25" s="18" t="inlineStr">
        <is>
          <t>NA</t>
        </is>
      </c>
      <c r="B25" s="20" t="inlineStr">
        <is>
          <t>Total FTE FY2024</t>
        </is>
      </c>
      <c r="C25" s="20" t="inlineStr">
        <is>
          <t>31,303</t>
        </is>
      </c>
      <c r="D25" s="20" t="inlineStr">
        <is>
          <t>MacroTrends / NA Annual Report</t>
        </is>
      </c>
      <c r="E25" s="20" t="inlineStr">
        <is>
          <t>https://www.macrotrends.net/stocks/charts/NTIOF/national-bank-of-canada/number-of-employees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2026-02-27T14:54:56Z</dcterms:created>
  <dcterms:modified xmlns:dcterms="http://purl.org/dc/terms/" xmlns:xsi="http://www.w3.org/2001/XMLSchema-instance" xsi:type="dcterms:W3CDTF">2026-02-27T15:17:08Z</dcterms:modified>
  <cp:lastModifiedBy>Wes Barlow</cp:lastModifiedBy>
  <cp:revision>0</cp:revision>
</cp:coreProperties>
</file>